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hiKhanna\.openclaw\workspace\ReconTool-ASI\requirements\"/>
    </mc:Choice>
  </mc:AlternateContent>
  <xr:revisionPtr revIDLastSave="0" documentId="13_ncr:1_{C2F44089-CAFC-4C96-81DA-2ADE837D062C}" xr6:coauthVersionLast="47" xr6:coauthVersionMax="47" xr10:uidLastSave="{00000000-0000-0000-0000-000000000000}"/>
  <bookViews>
    <workbookView xWindow="-110" yWindow="-110" windowWidth="19420" windowHeight="11500" xr2:uid="{1357F34D-3778-4021-A72B-329339162659}"/>
  </bookViews>
  <sheets>
    <sheet name="Dashboard" sheetId="8" r:id="rId1"/>
    <sheet name="RowData" sheetId="9" r:id="rId2"/>
    <sheet name="Mapping" sheetId="10" r:id="rId3"/>
    <sheet name="Matched" sheetId="2" r:id="rId4"/>
    <sheet name="UnMatched" sheetId="3" r:id="rId5"/>
    <sheet name="OnlyinSystem1" sheetId="4" r:id="rId6"/>
    <sheet name="OnlyinSystem2" sheetId="5" r:id="rId7"/>
  </sheets>
  <definedNames>
    <definedName name="_xlnm._FilterDatabase" localSheetId="3" hidden="1">Matched!$AH$1:$AH$28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R10" i="5"/>
  <c r="R9" i="5"/>
  <c r="R8" i="5"/>
  <c r="R7" i="5"/>
  <c r="R6" i="5"/>
  <c r="R5" i="5"/>
  <c r="R4" i="5"/>
  <c r="R3" i="5"/>
  <c r="R2" i="5"/>
  <c r="R7" i="4"/>
  <c r="R6" i="4"/>
  <c r="R5" i="4"/>
  <c r="R4" i="4"/>
  <c r="R3" i="4"/>
  <c r="R2" i="4"/>
  <c r="AE4" i="3"/>
  <c r="AE3" i="3"/>
  <c r="AE2" i="3"/>
  <c r="I4" i="3"/>
  <c r="I3" i="3"/>
  <c r="I2" i="3"/>
  <c r="AE6" i="2"/>
  <c r="AE5" i="2"/>
  <c r="AE4" i="2"/>
  <c r="AE3" i="2"/>
  <c r="AE2" i="2"/>
  <c r="I3" i="2"/>
  <c r="I4" i="2"/>
  <c r="I5" i="2"/>
  <c r="I6" i="2"/>
  <c r="I2" i="2"/>
  <c r="AG2" i="3"/>
  <c r="AH2" i="3" s="1"/>
  <c r="AG3" i="3"/>
  <c r="AH3" i="3" s="1"/>
  <c r="AG4" i="3"/>
  <c r="AH4" i="3" s="1"/>
  <c r="AB3" i="3"/>
  <c r="AB4" i="3"/>
  <c r="AB2" i="3"/>
  <c r="AF4" i="2"/>
  <c r="AG3" i="2"/>
  <c r="AH3" i="2" s="1"/>
  <c r="AG4" i="2"/>
  <c r="AG5" i="2"/>
  <c r="AH5" i="2" s="1"/>
  <c r="AG6" i="2"/>
  <c r="AH6" i="2" s="1"/>
  <c r="AG2" i="2"/>
  <c r="AH2" i="2"/>
  <c r="AB3" i="2"/>
  <c r="AB4" i="2"/>
  <c r="AB5" i="2"/>
  <c r="AB6" i="2"/>
  <c r="AB2" i="2"/>
  <c r="AJ6" i="2"/>
  <c r="AJ5" i="2"/>
  <c r="AJ4" i="2"/>
  <c r="AJ3" i="2"/>
  <c r="AJ2" i="2"/>
  <c r="AI6" i="2"/>
  <c r="AI5" i="2"/>
  <c r="AI4" i="2"/>
  <c r="AI3" i="2"/>
  <c r="AI2" i="2"/>
  <c r="AH4" i="2" l="1"/>
</calcChain>
</file>

<file path=xl/sharedStrings.xml><?xml version="1.0" encoding="utf-8"?>
<sst xmlns="http://schemas.openxmlformats.org/spreadsheetml/2006/main" count="919" uniqueCount="163">
  <si>
    <t>Deal Id</t>
  </si>
  <si>
    <t>Product Desc</t>
  </si>
  <si>
    <t>Prod Type</t>
  </si>
  <si>
    <t>Sub_Type</t>
  </si>
  <si>
    <t>Product Extendedtype</t>
  </si>
  <si>
    <t>Nominal</t>
  </si>
  <si>
    <t>Trade Currency</t>
  </si>
  <si>
    <t>Book</t>
  </si>
  <si>
    <t>CounterParty</t>
  </si>
  <si>
    <t>TradeStatus</t>
  </si>
  <si>
    <t>Trade Date</t>
  </si>
  <si>
    <t>Trade Settle Date</t>
  </si>
  <si>
    <t>Trader</t>
  </si>
  <si>
    <t>Entered User</t>
  </si>
  <si>
    <t>Trade Price</t>
  </si>
  <si>
    <t>Quantity</t>
  </si>
  <si>
    <t>Notional</t>
  </si>
  <si>
    <t>Pricer_MV</t>
  </si>
  <si>
    <t>FXForward</t>
  </si>
  <si>
    <t>None</t>
  </si>
  <si>
    <t>TZS</t>
  </si>
  <si>
    <t>TZ_FX_Corporate_old</t>
  </si>
  <si>
    <t>NATIONAL SOCIAL SECURITY FUND-UGANDA</t>
  </si>
  <si>
    <t>VERIFIED</t>
  </si>
  <si>
    <t>NONE</t>
  </si>
  <si>
    <t>admin</t>
  </si>
  <si>
    <t>TZ_FX_Nostro</t>
  </si>
  <si>
    <t>FX/USD/TZS</t>
  </si>
  <si>
    <t>FX</t>
  </si>
  <si>
    <t>DIY TANZANIA LIMITED</t>
  </si>
  <si>
    <t>Rdmlangwa</t>
  </si>
  <si>
    <t>gmkama</t>
  </si>
  <si>
    <t>FXForward/USD/TZS</t>
  </si>
  <si>
    <t>NORTH MARA GOLD MINE LIMITED</t>
  </si>
  <si>
    <t>Trade Id</t>
  </si>
  <si>
    <t>Product Description</t>
  </si>
  <si>
    <t>Sub Type</t>
  </si>
  <si>
    <t>Forward</t>
  </si>
  <si>
    <t>Trading_Book</t>
  </si>
  <si>
    <t>TZ_FX_Corporate</t>
  </si>
  <si>
    <r>
      <t>Dec 10, 2025</t>
    </r>
    <r>
      <rPr>
        <strike/>
        <sz val="11"/>
        <color theme="1"/>
        <rFont val="Calibri"/>
        <family val="2"/>
        <scheme val="minor"/>
      </rPr>
      <t xml:space="preserve"> 01:01 PM</t>
    </r>
  </si>
  <si>
    <r>
      <t>Dec 10, 2025</t>
    </r>
    <r>
      <rPr>
        <strike/>
        <sz val="11"/>
        <color theme="1"/>
        <rFont val="Calibri"/>
        <family val="2"/>
        <scheme val="minor"/>
      </rPr>
      <t xml:space="preserve"> 10:49 AM</t>
    </r>
  </si>
  <si>
    <r>
      <t xml:space="preserve">Dec 10, 2025 </t>
    </r>
    <r>
      <rPr>
        <strike/>
        <sz val="11"/>
        <color theme="1"/>
        <rFont val="Calibri"/>
        <family val="2"/>
        <scheme val="minor"/>
      </rPr>
      <t>10:46 AM</t>
    </r>
  </si>
  <si>
    <r>
      <t>Dec 05, 2025</t>
    </r>
    <r>
      <rPr>
        <strike/>
        <sz val="11"/>
        <color theme="1"/>
        <rFont val="Calibri"/>
        <family val="2"/>
        <scheme val="minor"/>
      </rPr>
      <t xml:space="preserve"> 10:57 AM</t>
    </r>
  </si>
  <si>
    <r>
      <t>Dec 05, 2025</t>
    </r>
    <r>
      <rPr>
        <strike/>
        <sz val="11"/>
        <color theme="1"/>
        <rFont val="Calibri"/>
        <family val="2"/>
        <scheme val="minor"/>
      </rPr>
      <t xml:space="preserve"> 10:27 AM</t>
    </r>
  </si>
  <si>
    <r>
      <t>Dec 10, 2025</t>
    </r>
    <r>
      <rPr>
        <strike/>
        <sz val="11"/>
        <color theme="1"/>
        <rFont val="Calibri"/>
        <family val="2"/>
        <scheme val="minor"/>
      </rPr>
      <t xml:space="preserve"> 01:2 PM</t>
    </r>
  </si>
  <si>
    <r>
      <t>Dec 10, 2025</t>
    </r>
    <r>
      <rPr>
        <strike/>
        <sz val="11"/>
        <color theme="1"/>
        <rFont val="Calibri"/>
        <family val="2"/>
        <scheme val="minor"/>
      </rPr>
      <t xml:space="preserve"> 10:52 AM</t>
    </r>
  </si>
  <si>
    <r>
      <t xml:space="preserve">Dec 10, 2025 </t>
    </r>
    <r>
      <rPr>
        <strike/>
        <sz val="11"/>
        <color theme="1"/>
        <rFont val="Calibri"/>
        <family val="2"/>
        <scheme val="minor"/>
      </rPr>
      <t>10:22 AM</t>
    </r>
  </si>
  <si>
    <r>
      <t>Dec 05, 2025</t>
    </r>
    <r>
      <rPr>
        <strike/>
        <sz val="11"/>
        <color theme="1"/>
        <rFont val="Calibri"/>
        <family val="2"/>
        <scheme val="minor"/>
      </rPr>
      <t xml:space="preserve"> 11:00 AM</t>
    </r>
  </si>
  <si>
    <t>rdmlangwa</t>
  </si>
  <si>
    <t>Cus_Internal_ref</t>
  </si>
  <si>
    <t>InternalRef</t>
  </si>
  <si>
    <t>Cust_Pricer_MV</t>
  </si>
  <si>
    <t>Diff%</t>
  </si>
  <si>
    <t>Product Type</t>
  </si>
  <si>
    <t>Test</t>
  </si>
  <si>
    <t>TZ_FX_Interbank</t>
  </si>
  <si>
    <t>TANGA CEMENT PLC</t>
  </si>
  <si>
    <t>NCBA BANK TANZANIA LTD</t>
  </si>
  <si>
    <t>GCB</t>
  </si>
  <si>
    <t>PENDING</t>
  </si>
  <si>
    <t>698935_TZS</t>
  </si>
  <si>
    <t>698932_TZS</t>
  </si>
  <si>
    <t>698929_TZS</t>
  </si>
  <si>
    <t>Dec 01, 2025 04:05 PM</t>
  </si>
  <si>
    <t>BANK OF AFRICA (T) LIMITED</t>
  </si>
  <si>
    <t>Dec 01, 2025 04:08 PM</t>
  </si>
  <si>
    <t>Diff(%)</t>
  </si>
  <si>
    <t>BANK OF TANZANIA</t>
  </si>
  <si>
    <t>Dec 01, 2025 05:06 PM</t>
  </si>
  <si>
    <t>Dec 01, 2025 05:03 PM</t>
  </si>
  <si>
    <t>Dec 01, 2025 04:43 PM</t>
  </si>
  <si>
    <t>Dec 02, 2025 10:03 AM</t>
  </si>
  <si>
    <t>FXForward/KES/TZS</t>
  </si>
  <si>
    <t>Dec 01, 2025 05:13 PM</t>
  </si>
  <si>
    <t>phayghaimo</t>
  </si>
  <si>
    <t>Bmselemu</t>
  </si>
  <si>
    <t>bmselemu</t>
  </si>
  <si>
    <t>TZ_FX_RETAIL</t>
  </si>
  <si>
    <t>VERIFIED_INTERNAL</t>
  </si>
  <si>
    <r>
      <t xml:space="preserve">Dec 05, 2025 </t>
    </r>
    <r>
      <rPr>
        <strike/>
        <sz val="11"/>
        <color theme="1"/>
        <rFont val="Calibri"/>
        <family val="2"/>
        <scheme val="minor"/>
      </rPr>
      <t>10:27 AM</t>
    </r>
  </si>
  <si>
    <r>
      <t>Dec 05, 2025</t>
    </r>
    <r>
      <rPr>
        <strike/>
        <sz val="11"/>
        <color theme="1"/>
        <rFont val="Calibri"/>
        <family val="2"/>
        <scheme val="minor"/>
      </rPr>
      <t xml:space="preserve"> 09:29 AM</t>
    </r>
  </si>
  <si>
    <r>
      <t xml:space="preserve">Dec 04, 2025 </t>
    </r>
    <r>
      <rPr>
        <strike/>
        <sz val="11"/>
        <color theme="1"/>
        <rFont val="Calibri"/>
        <family val="2"/>
        <scheme val="minor"/>
      </rPr>
      <t>10:43 AM</t>
    </r>
  </si>
  <si>
    <r>
      <t xml:space="preserve">Dec 04, 2025 </t>
    </r>
    <r>
      <rPr>
        <strike/>
        <sz val="11"/>
        <color theme="1"/>
        <rFont val="Calibri"/>
        <family val="2"/>
        <scheme val="minor"/>
      </rPr>
      <t>10:40 AM</t>
    </r>
  </si>
  <si>
    <r>
      <t xml:space="preserve">Dec 03, 2025 </t>
    </r>
    <r>
      <rPr>
        <strike/>
        <sz val="11"/>
        <color theme="1"/>
        <rFont val="Calibri"/>
        <family val="2"/>
        <scheme val="minor"/>
      </rPr>
      <t>04:32 PM</t>
    </r>
  </si>
  <si>
    <r>
      <t xml:space="preserve">Dec 03, 2025 </t>
    </r>
    <r>
      <rPr>
        <strike/>
        <sz val="11"/>
        <color theme="1"/>
        <rFont val="Calibri"/>
        <family val="2"/>
        <scheme val="minor"/>
      </rPr>
      <t>03:57 PM</t>
    </r>
  </si>
  <si>
    <r>
      <t xml:space="preserve">Dec 03, 2025 </t>
    </r>
    <r>
      <rPr>
        <strike/>
        <sz val="11"/>
        <color theme="1"/>
        <rFont val="Calibri"/>
        <family val="2"/>
        <scheme val="minor"/>
      </rPr>
      <t>01:08 PM</t>
    </r>
  </si>
  <si>
    <r>
      <t>Dec 03, 2025</t>
    </r>
    <r>
      <rPr>
        <strike/>
        <sz val="11"/>
        <color theme="1"/>
        <rFont val="Calibri"/>
        <family val="2"/>
        <scheme val="minor"/>
      </rPr>
      <t xml:space="preserve"> 10:36 AM</t>
    </r>
  </si>
  <si>
    <r>
      <t xml:space="preserve">Dec 02, 2025 </t>
    </r>
    <r>
      <rPr>
        <strike/>
        <sz val="11"/>
        <color theme="1"/>
        <rFont val="Calibri"/>
        <family val="2"/>
        <scheme val="minor"/>
      </rPr>
      <t>07:27 PM</t>
    </r>
  </si>
  <si>
    <r>
      <t xml:space="preserve">Dec 02, 2025 </t>
    </r>
    <r>
      <rPr>
        <strike/>
        <sz val="11"/>
        <color theme="1"/>
        <rFont val="Calibri"/>
        <family val="2"/>
        <scheme val="minor"/>
      </rPr>
      <t>07:18 PM</t>
    </r>
  </si>
  <si>
    <r>
      <t xml:space="preserve">Dec 02, 2025 </t>
    </r>
    <r>
      <rPr>
        <strike/>
        <sz val="11"/>
        <color theme="1"/>
        <rFont val="Calibri"/>
        <family val="2"/>
        <scheme val="minor"/>
      </rPr>
      <t>04:37 PM</t>
    </r>
  </si>
  <si>
    <r>
      <t xml:space="preserve">Dec 02, 2025 </t>
    </r>
    <r>
      <rPr>
        <strike/>
        <sz val="11"/>
        <color theme="1"/>
        <rFont val="Calibri"/>
        <family val="2"/>
        <scheme val="minor"/>
      </rPr>
      <t>04:34 PM</t>
    </r>
  </si>
  <si>
    <r>
      <t xml:space="preserve">Dec 02, 2025 </t>
    </r>
    <r>
      <rPr>
        <strike/>
        <sz val="11"/>
        <color theme="1"/>
        <rFont val="Calibri"/>
        <family val="2"/>
        <scheme val="minor"/>
      </rPr>
      <t>04:32 PM</t>
    </r>
  </si>
  <si>
    <r>
      <t>Dec 02, 2025</t>
    </r>
    <r>
      <rPr>
        <strike/>
        <sz val="11"/>
        <color theme="1"/>
        <rFont val="Calibri"/>
        <family val="2"/>
        <scheme val="minor"/>
      </rPr>
      <t xml:space="preserve"> 02:51 PM</t>
    </r>
  </si>
  <si>
    <r>
      <t xml:space="preserve">Dec 02, 2025 </t>
    </r>
    <r>
      <rPr>
        <strike/>
        <sz val="11"/>
        <color theme="1"/>
        <rFont val="Calibri"/>
        <family val="2"/>
        <scheme val="minor"/>
      </rPr>
      <t>02:00 PM</t>
    </r>
  </si>
  <si>
    <r>
      <t xml:space="preserve">Dec 02, 2025 </t>
    </r>
    <r>
      <rPr>
        <strike/>
        <sz val="11"/>
        <color theme="1"/>
        <rFont val="Calibri"/>
        <family val="2"/>
        <scheme val="minor"/>
      </rPr>
      <t>01:32 PM</t>
    </r>
  </si>
  <si>
    <t>698926_TZS</t>
  </si>
  <si>
    <t>698921_TZS</t>
  </si>
  <si>
    <t>698910_TZS</t>
  </si>
  <si>
    <t>698870_TZS</t>
  </si>
  <si>
    <t>698867_TZS</t>
  </si>
  <si>
    <t>698862_TZS</t>
  </si>
  <si>
    <t>698857_TZS</t>
  </si>
  <si>
    <t>698853_TZS</t>
  </si>
  <si>
    <t>698848_TZS</t>
  </si>
  <si>
    <t>698801_TZS</t>
  </si>
  <si>
    <t>698796_TZS</t>
  </si>
  <si>
    <t>698596_TZS</t>
  </si>
  <si>
    <t>698402_TZS</t>
  </si>
  <si>
    <t>698318_TZS</t>
  </si>
  <si>
    <t>698317_TZS</t>
  </si>
  <si>
    <t>698215_TZS</t>
  </si>
  <si>
    <t>698212_TZS</t>
  </si>
  <si>
    <t>698211_TZS</t>
  </si>
  <si>
    <t>698210_TZS</t>
  </si>
  <si>
    <t>698209_TZS</t>
  </si>
  <si>
    <t>698198_TZS</t>
  </si>
  <si>
    <t>FX_Branch_Overs</t>
  </si>
  <si>
    <t>FX_Branch_Overs_OLD</t>
  </si>
  <si>
    <t>Rows in File 1</t>
  </si>
  <si>
    <t>Rows in File 2</t>
  </si>
  <si>
    <t>Duplicate Rows (With Same Unique Key) In File 1</t>
  </si>
  <si>
    <t>Unique Rows only in File1</t>
  </si>
  <si>
    <t>Unique Rows only in File2</t>
  </si>
  <si>
    <t>Duplicate UnMatched Rows in File 1</t>
  </si>
  <si>
    <t xml:space="preserve">Uniquely Matched Rows </t>
  </si>
  <si>
    <t>Uniquely Unmatched Rows</t>
  </si>
  <si>
    <t>Unique rows only in File1</t>
  </si>
  <si>
    <t>Unique rows only in File2</t>
  </si>
  <si>
    <t>File1</t>
  </si>
  <si>
    <t>File2</t>
  </si>
  <si>
    <t>Present only in File 1</t>
  </si>
  <si>
    <t>Present only in File 2</t>
  </si>
  <si>
    <t>Duplicate Rows (With Same Unique Key) In File 2</t>
  </si>
  <si>
    <t>Duplicated Matched Rows in File 1</t>
  </si>
  <si>
    <t>Duplicated Matched Rows in File 2</t>
  </si>
  <si>
    <t>Duplicate Unmatched Rows in File 1</t>
  </si>
  <si>
    <t>Duplicated rows present only in File 1</t>
  </si>
  <si>
    <t>Duplicated rows present only in File 2</t>
  </si>
  <si>
    <t>FileName Mapping</t>
  </si>
  <si>
    <t>System 1</t>
  </si>
  <si>
    <t>System 2</t>
  </si>
  <si>
    <t>Trade_Report.xls</t>
  </si>
  <si>
    <t>Trade Report.xls</t>
  </si>
  <si>
    <t>Trade_Report_YYYYMMDD.xls</t>
  </si>
  <si>
    <t>Trade Report YYYYMMDD.xls</t>
  </si>
  <si>
    <t>Field Mapping</t>
  </si>
  <si>
    <t>Primary_KeyMapping</t>
  </si>
  <si>
    <t>DataMapping</t>
  </si>
  <si>
    <t>ProductSubTypeMapping</t>
  </si>
  <si>
    <t>Left System</t>
  </si>
  <si>
    <t>Right System</t>
  </si>
  <si>
    <t>Cash</t>
  </si>
  <si>
    <t>Loan-Cash</t>
  </si>
  <si>
    <t>Deposite</t>
  </si>
  <si>
    <t>Loan-Deposite</t>
  </si>
  <si>
    <t>BookMapping</t>
  </si>
  <si>
    <t>MappingRuleName</t>
  </si>
  <si>
    <t>Tolerance</t>
  </si>
  <si>
    <t>Case Sesitive</t>
  </si>
  <si>
    <t>Y</t>
  </si>
  <si>
    <t>N</t>
  </si>
  <si>
    <t>Duplicate Rows Present only in Fill1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</si>
</sst>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BFDA5"/>
        <bgColor indexed="64"/>
      </patternFill>
    </fill>
    <fill>
      <patternFill patternType="solid">
        <fgColor rgb="FFFF8B8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4" fontId="0" fillId="8" borderId="0" xfId="0" applyNumberFormat="1" applyFill="1"/>
    <xf numFmtId="164" fontId="0" fillId="8" borderId="0" xfId="0" applyNumberFormat="1" applyFill="1"/>
    <xf numFmtId="14" fontId="0" fillId="3" borderId="0" xfId="0" applyNumberFormat="1" applyFill="1"/>
    <xf numFmtId="0" fontId="0" fillId="9" borderId="0" xfId="0" applyFill="1"/>
    <xf numFmtId="164" fontId="0" fillId="9" borderId="0" xfId="0" applyNumberFormat="1" applyFill="1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FDA5"/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B0-4630-9199-F039AE0FA3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B0-4630-9199-F039AE0FA3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B0-4630-9199-F039AE0FA3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B0-4630-9199-F039AE0FA3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B0-4630-9199-F039AE0FA3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EB0-4630-9199-F039AE0FA3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EB0-4630-9199-F039AE0FA3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EB0-4630-9199-F039AE0FA3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EB0-4630-9199-F039AE0FA3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EB0-4630-9199-F039AE0FA30B}"/>
              </c:ext>
            </c:extLst>
          </c:dPt>
          <c:cat>
            <c:strRef>
              <c:f>RowData!$B$2:$B$11</c:f>
              <c:strCache>
                <c:ptCount val="10"/>
                <c:pt idx="0">
                  <c:v>Rows in File 1</c:v>
                </c:pt>
                <c:pt idx="1">
                  <c:v>Unique Rows only in File1</c:v>
                </c:pt>
                <c:pt idx="2">
                  <c:v>Uniquely Matched Rows </c:v>
                </c:pt>
                <c:pt idx="3">
                  <c:v>Uniquely Unmatched Rows</c:v>
                </c:pt>
                <c:pt idx="4">
                  <c:v>Present only in File 1</c:v>
                </c:pt>
                <c:pt idx="5">
                  <c:v>Unique rows only in File1</c:v>
                </c:pt>
                <c:pt idx="6">
                  <c:v>Duplicate Rows (With Same Unique Key) In File 1</c:v>
                </c:pt>
                <c:pt idx="7">
                  <c:v>Duplicated Matched Rows in File 1</c:v>
                </c:pt>
                <c:pt idx="8">
                  <c:v>Duplicate Unmatched Rows in File 1</c:v>
                </c:pt>
                <c:pt idx="9">
                  <c:v>Duplicate Rows Present only in Fill1</c:v>
                </c:pt>
              </c:strCache>
            </c:strRef>
          </c:cat>
          <c:val>
            <c:numRef>
              <c:f>RowData!$C$2:$C$11</c:f>
              <c:numCache>
                <c:formatCode>General</c:formatCode>
                <c:ptCount val="10"/>
                <c:pt idx="0">
                  <c:v>40</c:v>
                </c:pt>
                <c:pt idx="1">
                  <c:v>35</c:v>
                </c:pt>
                <c:pt idx="2">
                  <c:v>26</c:v>
                </c:pt>
                <c:pt idx="3">
                  <c:v>3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F-4F0D-AF2C-2D867BCF2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066294838145232"/>
          <c:y val="0.45596372295873205"/>
          <c:w val="0.52200721784776904"/>
          <c:h val="0.539934383202099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187325</xdr:colOff>
      <xdr:row>2</xdr:row>
      <xdr:rowOff>47625</xdr:rowOff>
    </xdr:from>
    <xdr:to>
      <xdr:col>10</xdr:col>
      <xdr:colOff>492125</xdr:colOff>
      <xdr:row>17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D92C2E-2323-9E02-6DCA-5D5E924AC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2A65-CD56-4C58-94BF-69F02EDAE55D}">
  <dimension ref="B3:C22"/>
  <sheetViews>
    <sheetView tabSelected="1" workbookViewId="0">
      <selection activeCell="D36" sqref="D36"/>
    </sheetView>
  </sheetViews>
  <sheetFormatPr defaultRowHeight="14.5" x14ac:dyDescent="0.35"/>
  <cols>
    <col min="2" max="2" width="41.6328125" bestFit="1" customWidth="1"/>
  </cols>
  <sheetData>
    <row r="3" spans="2:3" x14ac:dyDescent="0.35">
      <c r="B3" t="s">
        <v>119</v>
      </c>
      <c r="C3">
        <v>40</v>
      </c>
    </row>
    <row r="4" spans="2:3" x14ac:dyDescent="0.35">
      <c r="B4" t="s">
        <v>120</v>
      </c>
      <c r="C4">
        <v>42</v>
      </c>
    </row>
    <row r="5" spans="2:3" x14ac:dyDescent="0.35">
      <c r="B5" t="s">
        <v>122</v>
      </c>
      <c r="C5">
        <v>35</v>
      </c>
    </row>
    <row r="6" spans="2:3" x14ac:dyDescent="0.35">
      <c r="B6" t="s">
        <v>123</v>
      </c>
      <c r="C6">
        <v>38</v>
      </c>
    </row>
    <row r="7" spans="2:3" x14ac:dyDescent="0.35">
      <c r="B7" t="s">
        <v>125</v>
      </c>
      <c r="C7">
        <v>26</v>
      </c>
    </row>
    <row r="8" spans="2:3" x14ac:dyDescent="0.35">
      <c r="B8" t="s">
        <v>126</v>
      </c>
      <c r="C8">
        <v>3</v>
      </c>
    </row>
    <row r="9" spans="2:3" x14ac:dyDescent="0.35">
      <c r="B9" t="s">
        <v>131</v>
      </c>
      <c r="C9">
        <v>6</v>
      </c>
    </row>
    <row r="10" spans="2:3" x14ac:dyDescent="0.35">
      <c r="B10" t="s">
        <v>132</v>
      </c>
      <c r="C10">
        <v>9</v>
      </c>
    </row>
    <row r="12" spans="2:3" x14ac:dyDescent="0.35">
      <c r="B12" t="s">
        <v>127</v>
      </c>
      <c r="C12">
        <v>35</v>
      </c>
    </row>
    <row r="13" spans="2:3" x14ac:dyDescent="0.35">
      <c r="B13" t="s">
        <v>128</v>
      </c>
      <c r="C13">
        <v>38</v>
      </c>
    </row>
    <row r="14" spans="2:3" x14ac:dyDescent="0.35">
      <c r="B14" t="s">
        <v>121</v>
      </c>
      <c r="C14">
        <v>5</v>
      </c>
    </row>
    <row r="15" spans="2:3" x14ac:dyDescent="0.35">
      <c r="B15" t="s">
        <v>133</v>
      </c>
      <c r="C15">
        <v>4</v>
      </c>
    </row>
    <row r="16" spans="2:3" x14ac:dyDescent="0.35">
      <c r="B16" t="s">
        <v>134</v>
      </c>
      <c r="C16">
        <v>2</v>
      </c>
    </row>
    <row r="17" spans="2:3" x14ac:dyDescent="0.35">
      <c r="B17" t="s">
        <v>135</v>
      </c>
      <c r="C17">
        <v>2</v>
      </c>
    </row>
    <row r="18" spans="2:3" x14ac:dyDescent="0.35">
      <c r="B18" t="s">
        <v>136</v>
      </c>
      <c r="C18">
        <v>1</v>
      </c>
    </row>
    <row r="19" spans="2:3" x14ac:dyDescent="0.35">
      <c r="B19" t="s">
        <v>136</v>
      </c>
      <c r="C19">
        <v>2</v>
      </c>
    </row>
    <row r="20" spans="2:3" x14ac:dyDescent="0.35">
      <c r="B20" t="s">
        <v>124</v>
      </c>
      <c r="C20">
        <v>0</v>
      </c>
    </row>
    <row r="21" spans="2:3" x14ac:dyDescent="0.35">
      <c r="B21" t="s">
        <v>137</v>
      </c>
      <c r="C21">
        <v>2</v>
      </c>
    </row>
    <row r="22" spans="2:3" x14ac:dyDescent="0.35">
      <c r="B22" t="s">
        <v>138</v>
      </c>
      <c r="C2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55993-E1D2-487B-8CC8-8CA8A3725830}">
  <dimension ref="B2:C11"/>
  <sheetViews>
    <sheetView workbookViewId="0">
      <selection activeCell="P8" sqref="P8"/>
    </sheetView>
  </sheetViews>
  <sheetFormatPr defaultRowHeight="14.5" x14ac:dyDescent="0.35"/>
  <cols>
    <col min="2" max="2" width="42.90625" bestFit="1" customWidth="1"/>
  </cols>
  <sheetData>
    <row r="2" spans="2:3" x14ac:dyDescent="0.35">
      <c r="B2" t="s">
        <v>119</v>
      </c>
      <c r="C2">
        <v>40</v>
      </c>
    </row>
    <row r="3" spans="2:3" x14ac:dyDescent="0.35">
      <c r="B3" t="s">
        <v>122</v>
      </c>
      <c r="C3">
        <v>35</v>
      </c>
    </row>
    <row r="4" spans="2:3" x14ac:dyDescent="0.35">
      <c r="B4" t="s">
        <v>125</v>
      </c>
      <c r="C4">
        <v>26</v>
      </c>
    </row>
    <row r="5" spans="2:3" x14ac:dyDescent="0.35">
      <c r="B5" t="s">
        <v>126</v>
      </c>
      <c r="C5">
        <v>3</v>
      </c>
    </row>
    <row r="6" spans="2:3" x14ac:dyDescent="0.35">
      <c r="B6" t="s">
        <v>131</v>
      </c>
      <c r="C6">
        <v>6</v>
      </c>
    </row>
    <row r="7" spans="2:3" x14ac:dyDescent="0.35">
      <c r="B7" t="s">
        <v>127</v>
      </c>
      <c r="C7">
        <v>6</v>
      </c>
    </row>
    <row r="8" spans="2:3" x14ac:dyDescent="0.35">
      <c r="B8" t="s">
        <v>121</v>
      </c>
      <c r="C8">
        <v>5</v>
      </c>
    </row>
    <row r="9" spans="2:3" x14ac:dyDescent="0.35">
      <c r="B9" t="s">
        <v>134</v>
      </c>
      <c r="C9">
        <v>2</v>
      </c>
    </row>
    <row r="10" spans="2:3" x14ac:dyDescent="0.35">
      <c r="B10" t="s">
        <v>136</v>
      </c>
      <c r="C10">
        <v>1</v>
      </c>
    </row>
    <row r="11" spans="2:3" x14ac:dyDescent="0.35">
      <c r="B11" t="s">
        <v>162</v>
      </c>
      <c r="C11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49A4-A08C-46BB-A020-F5B2B4735CF4}">
  <dimension ref="A3:F29"/>
  <sheetViews>
    <sheetView workbookViewId="0">
      <selection activeCell="E22" sqref="E22"/>
    </sheetView>
  </sheetViews>
  <sheetFormatPr defaultRowHeight="14.5" x14ac:dyDescent="0.35"/>
  <cols>
    <col min="1" max="1" width="22.90625" bestFit="1" customWidth="1"/>
    <col min="2" max="2" width="26.36328125" bestFit="1" customWidth="1"/>
    <col min="3" max="3" width="25.26953125" bestFit="1" customWidth="1"/>
    <col min="4" max="4" width="22.453125" bestFit="1" customWidth="1"/>
    <col min="6" max="6" width="12" bestFit="1" customWidth="1"/>
  </cols>
  <sheetData>
    <row r="3" spans="1:6" x14ac:dyDescent="0.35">
      <c r="A3" s="13" t="s">
        <v>139</v>
      </c>
      <c r="B3" s="13" t="s">
        <v>140</v>
      </c>
      <c r="C3" s="13" t="s">
        <v>141</v>
      </c>
    </row>
    <row r="4" spans="1:6" x14ac:dyDescent="0.35">
      <c r="A4" s="13"/>
      <c r="B4" s="14" t="s">
        <v>142</v>
      </c>
      <c r="C4" s="14" t="s">
        <v>143</v>
      </c>
    </row>
    <row r="5" spans="1:6" x14ac:dyDescent="0.35">
      <c r="A5" s="14"/>
      <c r="B5" s="14" t="s">
        <v>144</v>
      </c>
      <c r="C5" s="14" t="s">
        <v>145</v>
      </c>
    </row>
    <row r="9" spans="1:6" x14ac:dyDescent="0.35">
      <c r="A9" s="13" t="s">
        <v>146</v>
      </c>
    </row>
    <row r="10" spans="1:6" x14ac:dyDescent="0.35">
      <c r="A10" s="15"/>
      <c r="B10" t="s">
        <v>129</v>
      </c>
      <c r="C10" t="s">
        <v>130</v>
      </c>
      <c r="D10" t="s">
        <v>157</v>
      </c>
      <c r="E10" t="s">
        <v>158</v>
      </c>
      <c r="F10" t="s">
        <v>159</v>
      </c>
    </row>
    <row r="11" spans="1:6" x14ac:dyDescent="0.35">
      <c r="B11" s="14" t="s">
        <v>144</v>
      </c>
      <c r="C11" s="14" t="s">
        <v>145</v>
      </c>
      <c r="E11" s="16">
        <v>0.2</v>
      </c>
      <c r="F11" t="s">
        <v>160</v>
      </c>
    </row>
    <row r="12" spans="1:6" x14ac:dyDescent="0.35">
      <c r="B12" t="s">
        <v>34</v>
      </c>
      <c r="C12" t="s">
        <v>0</v>
      </c>
    </row>
    <row r="13" spans="1:6" x14ac:dyDescent="0.35">
      <c r="B13" t="s">
        <v>3</v>
      </c>
      <c r="C13" t="s">
        <v>36</v>
      </c>
      <c r="D13" t="s">
        <v>149</v>
      </c>
    </row>
    <row r="14" spans="1:6" x14ac:dyDescent="0.35">
      <c r="B14" t="s">
        <v>38</v>
      </c>
      <c r="C14" t="s">
        <v>7</v>
      </c>
      <c r="D14" t="s">
        <v>156</v>
      </c>
      <c r="F14" t="s">
        <v>161</v>
      </c>
    </row>
    <row r="15" spans="1:6" x14ac:dyDescent="0.35">
      <c r="B15" t="s">
        <v>14</v>
      </c>
      <c r="C15" t="s">
        <v>14</v>
      </c>
      <c r="E15" s="16">
        <v>0.1</v>
      </c>
    </row>
    <row r="20" spans="1:3" x14ac:dyDescent="0.35">
      <c r="A20" s="13" t="s">
        <v>147</v>
      </c>
      <c r="B20" s="14" t="s">
        <v>144</v>
      </c>
      <c r="C20" s="14" t="s">
        <v>145</v>
      </c>
    </row>
    <row r="21" spans="1:3" x14ac:dyDescent="0.35">
      <c r="A21" s="13"/>
      <c r="B21" s="14" t="s">
        <v>34</v>
      </c>
      <c r="C21" s="14" t="s">
        <v>0</v>
      </c>
    </row>
    <row r="23" spans="1:3" x14ac:dyDescent="0.35">
      <c r="A23" s="15" t="s">
        <v>148</v>
      </c>
      <c r="B23" t="s">
        <v>150</v>
      </c>
      <c r="C23" t="s">
        <v>151</v>
      </c>
    </row>
    <row r="25" spans="1:3" x14ac:dyDescent="0.35">
      <c r="A25" t="s">
        <v>149</v>
      </c>
      <c r="B25" t="s">
        <v>18</v>
      </c>
      <c r="C25" t="s">
        <v>37</v>
      </c>
    </row>
    <row r="26" spans="1:3" x14ac:dyDescent="0.35">
      <c r="B26" t="s">
        <v>152</v>
      </c>
      <c r="C26" t="s">
        <v>153</v>
      </c>
    </row>
    <row r="27" spans="1:3" x14ac:dyDescent="0.35">
      <c r="B27" t="s">
        <v>154</v>
      </c>
      <c r="C27" t="s">
        <v>155</v>
      </c>
    </row>
    <row r="28" spans="1:3" x14ac:dyDescent="0.35">
      <c r="A28" t="s">
        <v>156</v>
      </c>
      <c r="B28" t="s">
        <v>21</v>
      </c>
      <c r="C28" t="s">
        <v>39</v>
      </c>
    </row>
    <row r="29" spans="1:3" x14ac:dyDescent="0.35">
      <c r="B29" t="s">
        <v>118</v>
      </c>
      <c r="C29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819F-C495-4B5A-9044-AE2EF1AD9809}">
  <dimension ref="A1:AJ27"/>
  <sheetViews>
    <sheetView topLeftCell="O1" zoomScale="90" zoomScaleNormal="90" workbookViewId="0">
      <selection activeCell="S38" sqref="S38"/>
    </sheetView>
  </sheetViews>
  <sheetFormatPr defaultRowHeight="14.5" x14ac:dyDescent="0.35"/>
  <cols>
    <col min="3" max="3" width="17.90625" bestFit="1" customWidth="1"/>
    <col min="4" max="4" width="12" bestFit="1" customWidth="1"/>
    <col min="5" max="6" width="9.7265625" bestFit="1" customWidth="1"/>
    <col min="7" max="7" width="19.36328125" customWidth="1"/>
    <col min="8" max="8" width="10.453125" bestFit="1" customWidth="1"/>
    <col min="9" max="9" width="10.453125" customWidth="1"/>
    <col min="10" max="11" width="13.6328125" bestFit="1" customWidth="1"/>
    <col min="12" max="12" width="18.90625" bestFit="1" customWidth="1"/>
    <col min="13" max="13" width="15.1796875" bestFit="1" customWidth="1"/>
    <col min="14" max="15" width="38.08984375" bestFit="1" customWidth="1"/>
    <col min="16" max="16" width="17.7265625" bestFit="1" customWidth="1"/>
    <col min="17" max="17" width="11" bestFit="1" customWidth="1"/>
    <col min="18" max="19" width="19.81640625" bestFit="1" customWidth="1"/>
    <col min="20" max="20" width="15.1796875" bestFit="1" customWidth="1"/>
    <col min="21" max="21" width="16.54296875" bestFit="1" customWidth="1"/>
    <col min="22" max="22" width="10.54296875" bestFit="1" customWidth="1"/>
    <col min="23" max="23" width="10.1796875" bestFit="1" customWidth="1"/>
    <col min="24" max="25" width="11.6328125" bestFit="1" customWidth="1"/>
    <col min="26" max="26" width="10.7265625" customWidth="1"/>
    <col min="27" max="27" width="10.08984375" bestFit="1" customWidth="1"/>
    <col min="32" max="32" width="10.453125" bestFit="1" customWidth="1"/>
    <col min="33" max="33" width="14.08984375" bestFit="1" customWidth="1"/>
    <col min="34" max="34" width="14.08984375" customWidth="1"/>
    <col min="35" max="36" width="44.1796875" bestFit="1" customWidth="1"/>
  </cols>
  <sheetData>
    <row r="1" spans="1:36" x14ac:dyDescent="0.35">
      <c r="A1" s="4" t="s">
        <v>0</v>
      </c>
      <c r="B1" t="s">
        <v>34</v>
      </c>
      <c r="C1" s="4" t="s">
        <v>2</v>
      </c>
      <c r="D1" t="s">
        <v>54</v>
      </c>
      <c r="E1" s="4" t="s">
        <v>3</v>
      </c>
      <c r="F1" t="s">
        <v>36</v>
      </c>
      <c r="G1" s="6" t="s">
        <v>5</v>
      </c>
      <c r="H1" t="s">
        <v>5</v>
      </c>
      <c r="I1" s="1" t="s">
        <v>67</v>
      </c>
      <c r="J1" s="6" t="s">
        <v>6</v>
      </c>
      <c r="K1" t="s">
        <v>6</v>
      </c>
      <c r="L1" s="6" t="s">
        <v>38</v>
      </c>
      <c r="M1" t="s">
        <v>7</v>
      </c>
      <c r="N1" s="6" t="s">
        <v>8</v>
      </c>
      <c r="O1" t="s">
        <v>8</v>
      </c>
      <c r="P1" s="6" t="s">
        <v>9</v>
      </c>
      <c r="Q1" t="s">
        <v>9</v>
      </c>
      <c r="R1" s="6" t="s">
        <v>10</v>
      </c>
      <c r="S1" t="s">
        <v>10</v>
      </c>
      <c r="T1" s="6" t="s">
        <v>11</v>
      </c>
      <c r="U1" t="s">
        <v>11</v>
      </c>
      <c r="V1" s="6" t="s">
        <v>12</v>
      </c>
      <c r="W1" t="s">
        <v>12</v>
      </c>
      <c r="X1" s="6" t="s">
        <v>13</v>
      </c>
      <c r="Y1" t="s">
        <v>13</v>
      </c>
      <c r="Z1" s="6" t="s">
        <v>14</v>
      </c>
      <c r="AA1" t="s">
        <v>14</v>
      </c>
      <c r="AB1" s="3" t="s">
        <v>53</v>
      </c>
      <c r="AC1" s="6" t="s">
        <v>15</v>
      </c>
      <c r="AD1" t="s">
        <v>15</v>
      </c>
      <c r="AE1" s="3" t="s">
        <v>53</v>
      </c>
      <c r="AF1" s="6" t="s">
        <v>17</v>
      </c>
      <c r="AG1" t="s">
        <v>52</v>
      </c>
      <c r="AH1" s="3" t="s">
        <v>53</v>
      </c>
      <c r="AI1" s="6" t="s">
        <v>50</v>
      </c>
      <c r="AJ1" t="s">
        <v>51</v>
      </c>
    </row>
    <row r="2" spans="1:36" x14ac:dyDescent="0.35">
      <c r="A2">
        <v>699296</v>
      </c>
      <c r="B2">
        <v>699296</v>
      </c>
      <c r="C2" t="s">
        <v>18</v>
      </c>
      <c r="D2" t="s">
        <v>18</v>
      </c>
      <c r="E2" s="7" t="s">
        <v>18</v>
      </c>
      <c r="F2" s="7" t="s">
        <v>37</v>
      </c>
      <c r="G2">
        <v>-350650</v>
      </c>
      <c r="H2">
        <v>-350650</v>
      </c>
      <c r="I2">
        <f>((H2-G2)/G2)*100</f>
        <v>0</v>
      </c>
      <c r="J2" t="s">
        <v>20</v>
      </c>
      <c r="K2" t="s">
        <v>20</v>
      </c>
      <c r="L2" s="7" t="s">
        <v>21</v>
      </c>
      <c r="M2" s="7" t="s">
        <v>39</v>
      </c>
      <c r="N2" t="s">
        <v>22</v>
      </c>
      <c r="O2" t="s">
        <v>22</v>
      </c>
      <c r="P2" t="s">
        <v>23</v>
      </c>
      <c r="Q2" t="s">
        <v>23</v>
      </c>
      <c r="R2" s="7" t="s">
        <v>40</v>
      </c>
      <c r="S2" s="7" t="s">
        <v>45</v>
      </c>
      <c r="T2" s="8">
        <v>46001</v>
      </c>
      <c r="U2" s="9">
        <v>46001</v>
      </c>
      <c r="V2" t="s">
        <v>24</v>
      </c>
      <c r="W2" t="s">
        <v>24</v>
      </c>
      <c r="X2" t="s">
        <v>25</v>
      </c>
      <c r="Y2" t="s">
        <v>25</v>
      </c>
      <c r="Z2" s="7">
        <v>0.70130000000000003</v>
      </c>
      <c r="AA2" s="7">
        <v>0.68727400000000005</v>
      </c>
      <c r="AB2">
        <f>((Z2-AA2)/Z2)*100</f>
        <v>1.9999999999999976</v>
      </c>
      <c r="AC2">
        <v>500000</v>
      </c>
      <c r="AD2">
        <v>500000</v>
      </c>
      <c r="AE2">
        <f>((AC2-AD2)/AC2)*100</f>
        <v>0</v>
      </c>
      <c r="AF2" s="7">
        <v>350650</v>
      </c>
      <c r="AG2" s="7">
        <f>AA2*AD2</f>
        <v>343637</v>
      </c>
      <c r="AH2">
        <f>((AF2-AG2)/AF2)*100</f>
        <v>2</v>
      </c>
      <c r="AI2" t="str">
        <f t="shared" ref="AI2:AJ6" si="0">CONCATENATE(N2,"_",T2)</f>
        <v>NATIONAL SOCIAL SECURITY FUND-UGANDA_46001</v>
      </c>
      <c r="AJ2" t="str">
        <f t="shared" si="0"/>
        <v>NATIONAL SOCIAL SECURITY FUND-UGANDA_46001</v>
      </c>
    </row>
    <row r="3" spans="1:36" x14ac:dyDescent="0.35">
      <c r="A3">
        <v>699200</v>
      </c>
      <c r="B3">
        <v>699200</v>
      </c>
      <c r="C3" t="s">
        <v>18</v>
      </c>
      <c r="D3" t="s">
        <v>18</v>
      </c>
      <c r="E3" s="7" t="s">
        <v>18</v>
      </c>
      <c r="F3" s="7" t="s">
        <v>37</v>
      </c>
      <c r="G3">
        <v>-34565</v>
      </c>
      <c r="H3">
        <v>-34565</v>
      </c>
      <c r="I3">
        <f t="shared" ref="I3:I27" si="1">((H3-G3)/G3)*100</f>
        <v>0</v>
      </c>
      <c r="J3" t="s">
        <v>20</v>
      </c>
      <c r="K3" t="s">
        <v>20</v>
      </c>
      <c r="L3" t="s">
        <v>26</v>
      </c>
      <c r="M3" t="s">
        <v>26</v>
      </c>
      <c r="N3" t="s">
        <v>22</v>
      </c>
      <c r="O3" t="s">
        <v>22</v>
      </c>
      <c r="P3" t="s">
        <v>23</v>
      </c>
      <c r="Q3" t="s">
        <v>23</v>
      </c>
      <c r="R3" s="7" t="s">
        <v>41</v>
      </c>
      <c r="S3" s="7" t="s">
        <v>46</v>
      </c>
      <c r="T3" s="8">
        <v>46001</v>
      </c>
      <c r="U3" s="9">
        <v>46001</v>
      </c>
      <c r="V3" t="s">
        <v>24</v>
      </c>
      <c r="W3" t="s">
        <v>24</v>
      </c>
      <c r="X3" t="s">
        <v>25</v>
      </c>
      <c r="Y3" t="s">
        <v>25</v>
      </c>
      <c r="Z3" s="7">
        <v>0.69130000000000003</v>
      </c>
      <c r="AA3" s="7">
        <v>0.67747400000000002</v>
      </c>
      <c r="AB3">
        <f t="shared" ref="AB3:AB27" si="2">((Z3-AA3)/Z3)*100</f>
        <v>2.0000000000000009</v>
      </c>
      <c r="AC3">
        <v>50000</v>
      </c>
      <c r="AD3">
        <v>50000</v>
      </c>
      <c r="AE3">
        <f t="shared" ref="AE3:AE27" si="3">((AC3-AD3)/AC3)*100</f>
        <v>0</v>
      </c>
      <c r="AF3" s="7">
        <v>34565</v>
      </c>
      <c r="AG3" s="7">
        <f t="shared" ref="AF3:AG6" si="4">AA3*AD3</f>
        <v>33873.700000000004</v>
      </c>
      <c r="AH3">
        <f t="shared" ref="AH3:AH27" si="5">((AF3-AG3)/AF3)*100</f>
        <v>1.9999999999999871</v>
      </c>
      <c r="AI3" t="str">
        <f t="shared" si="0"/>
        <v>NATIONAL SOCIAL SECURITY FUND-UGANDA_46001</v>
      </c>
      <c r="AJ3" t="str">
        <f t="shared" si="0"/>
        <v>NATIONAL SOCIAL SECURITY FUND-UGANDA_46001</v>
      </c>
    </row>
    <row r="4" spans="1:36" x14ac:dyDescent="0.35">
      <c r="A4">
        <v>699192</v>
      </c>
      <c r="B4">
        <v>699192</v>
      </c>
      <c r="C4" t="s">
        <v>18</v>
      </c>
      <c r="D4" t="s">
        <v>18</v>
      </c>
      <c r="E4" s="7" t="s">
        <v>18</v>
      </c>
      <c r="F4" s="7" t="s">
        <v>37</v>
      </c>
      <c r="G4">
        <v>-701300</v>
      </c>
      <c r="H4">
        <v>-701300</v>
      </c>
      <c r="I4">
        <f t="shared" si="1"/>
        <v>0</v>
      </c>
      <c r="J4" t="s">
        <v>20</v>
      </c>
      <c r="K4" t="s">
        <v>20</v>
      </c>
      <c r="L4" s="7" t="s">
        <v>21</v>
      </c>
      <c r="M4" s="7" t="s">
        <v>39</v>
      </c>
      <c r="N4" t="s">
        <v>22</v>
      </c>
      <c r="O4" t="s">
        <v>22</v>
      </c>
      <c r="P4" t="s">
        <v>23</v>
      </c>
      <c r="Q4" t="s">
        <v>23</v>
      </c>
      <c r="R4" s="7" t="s">
        <v>42</v>
      </c>
      <c r="S4" s="7" t="s">
        <v>47</v>
      </c>
      <c r="T4" s="8">
        <v>46001</v>
      </c>
      <c r="U4" s="9">
        <v>46001</v>
      </c>
      <c r="V4" t="s">
        <v>24</v>
      </c>
      <c r="W4" t="s">
        <v>24</v>
      </c>
      <c r="X4" t="s">
        <v>25</v>
      </c>
      <c r="Y4" t="s">
        <v>25</v>
      </c>
      <c r="Z4" s="7">
        <v>0.70130000000000003</v>
      </c>
      <c r="AA4" s="7">
        <v>0.680261</v>
      </c>
      <c r="AB4">
        <f t="shared" si="2"/>
        <v>3.000000000000004</v>
      </c>
      <c r="AC4">
        <v>1000000</v>
      </c>
      <c r="AD4">
        <v>1000000</v>
      </c>
      <c r="AE4">
        <f t="shared" si="3"/>
        <v>0</v>
      </c>
      <c r="AF4" s="7">
        <f t="shared" si="4"/>
        <v>701300</v>
      </c>
      <c r="AG4" s="7">
        <f t="shared" si="4"/>
        <v>680261</v>
      </c>
      <c r="AH4">
        <f t="shared" si="5"/>
        <v>3</v>
      </c>
      <c r="AI4" t="str">
        <f t="shared" si="0"/>
        <v>NATIONAL SOCIAL SECURITY FUND-UGANDA_46001</v>
      </c>
      <c r="AJ4" t="str">
        <f t="shared" si="0"/>
        <v>NATIONAL SOCIAL SECURITY FUND-UGANDA_46001</v>
      </c>
    </row>
    <row r="5" spans="1:36" x14ac:dyDescent="0.35">
      <c r="A5">
        <v>698951</v>
      </c>
      <c r="B5">
        <v>698951</v>
      </c>
      <c r="C5" t="s">
        <v>28</v>
      </c>
      <c r="D5" t="s">
        <v>28</v>
      </c>
      <c r="E5" t="s">
        <v>28</v>
      </c>
      <c r="F5" t="s">
        <v>28</v>
      </c>
      <c r="G5">
        <v>246620000</v>
      </c>
      <c r="H5">
        <v>246620000</v>
      </c>
      <c r="I5">
        <f t="shared" si="1"/>
        <v>0</v>
      </c>
      <c r="J5" t="s">
        <v>20</v>
      </c>
      <c r="K5" t="s">
        <v>20</v>
      </c>
      <c r="L5" s="7" t="s">
        <v>21</v>
      </c>
      <c r="M5" s="7" t="s">
        <v>39</v>
      </c>
      <c r="N5" t="s">
        <v>29</v>
      </c>
      <c r="O5" t="s">
        <v>29</v>
      </c>
      <c r="P5" t="s">
        <v>23</v>
      </c>
      <c r="Q5" t="s">
        <v>23</v>
      </c>
      <c r="R5" s="7" t="s">
        <v>43</v>
      </c>
      <c r="S5" s="7" t="s">
        <v>48</v>
      </c>
      <c r="T5" s="8">
        <v>45996</v>
      </c>
      <c r="U5" s="9">
        <v>45996</v>
      </c>
      <c r="V5" s="7" t="s">
        <v>30</v>
      </c>
      <c r="W5" s="7" t="s">
        <v>49</v>
      </c>
      <c r="X5" t="s">
        <v>31</v>
      </c>
      <c r="Y5" t="s">
        <v>31</v>
      </c>
      <c r="Z5" s="7">
        <v>2466.1999999999998</v>
      </c>
      <c r="AA5" s="7">
        <v>2367.5519999999997</v>
      </c>
      <c r="AB5">
        <f t="shared" si="2"/>
        <v>4.0000000000000053</v>
      </c>
      <c r="AC5">
        <v>-100000</v>
      </c>
      <c r="AD5">
        <v>-100000</v>
      </c>
      <c r="AE5">
        <f t="shared" si="3"/>
        <v>0</v>
      </c>
      <c r="AF5" s="7">
        <v>-246619999.99999997</v>
      </c>
      <c r="AG5" s="7">
        <f t="shared" si="4"/>
        <v>-236755199.99999997</v>
      </c>
      <c r="AH5">
        <f t="shared" si="5"/>
        <v>4.0000000000000009</v>
      </c>
      <c r="AI5" t="str">
        <f t="shared" si="0"/>
        <v>DIY TANZANIA LIMITED_45996</v>
      </c>
      <c r="AJ5" t="str">
        <f t="shared" si="0"/>
        <v>DIY TANZANIA LIMITED_45996</v>
      </c>
    </row>
    <row r="6" spans="1:36" x14ac:dyDescent="0.35">
      <c r="A6">
        <v>698938</v>
      </c>
      <c r="B6">
        <v>698938</v>
      </c>
      <c r="C6" t="s">
        <v>18</v>
      </c>
      <c r="D6" t="s">
        <v>18</v>
      </c>
      <c r="E6" s="7" t="s">
        <v>18</v>
      </c>
      <c r="F6" s="7" t="s">
        <v>37</v>
      </c>
      <c r="G6">
        <v>-665874000</v>
      </c>
      <c r="H6">
        <v>-665874000</v>
      </c>
      <c r="I6">
        <f t="shared" si="1"/>
        <v>0</v>
      </c>
      <c r="J6" t="s">
        <v>20</v>
      </c>
      <c r="K6" t="s">
        <v>20</v>
      </c>
      <c r="L6" s="7" t="s">
        <v>21</v>
      </c>
      <c r="M6" s="7" t="s">
        <v>39</v>
      </c>
      <c r="N6" t="s">
        <v>33</v>
      </c>
      <c r="O6" t="s">
        <v>33</v>
      </c>
      <c r="P6" t="s">
        <v>23</v>
      </c>
      <c r="Q6" t="s">
        <v>23</v>
      </c>
      <c r="R6" s="7" t="s">
        <v>44</v>
      </c>
      <c r="S6" s="7" t="s">
        <v>44</v>
      </c>
      <c r="T6" s="8">
        <v>45996</v>
      </c>
      <c r="U6" s="9">
        <v>45996</v>
      </c>
      <c r="V6" s="7" t="s">
        <v>30</v>
      </c>
      <c r="W6" s="7" t="s">
        <v>49</v>
      </c>
      <c r="X6" s="7" t="s">
        <v>30</v>
      </c>
      <c r="Y6" s="7" t="s">
        <v>49</v>
      </c>
      <c r="Z6" s="7">
        <v>2466.1999999999998</v>
      </c>
      <c r="AA6" s="7">
        <v>2416.8759999999997</v>
      </c>
      <c r="AB6">
        <f t="shared" si="2"/>
        <v>2.0000000000000027</v>
      </c>
      <c r="AC6">
        <v>270000</v>
      </c>
      <c r="AD6">
        <v>270000</v>
      </c>
      <c r="AE6">
        <f t="shared" si="3"/>
        <v>0</v>
      </c>
      <c r="AF6" s="7">
        <v>665874000</v>
      </c>
      <c r="AG6" s="7">
        <f t="shared" si="4"/>
        <v>652556519.99999988</v>
      </c>
      <c r="AH6">
        <f t="shared" si="5"/>
        <v>2.0000000000000178</v>
      </c>
      <c r="AI6" t="str">
        <f t="shared" si="0"/>
        <v>NORTH MARA GOLD MINE LIMITED_45996</v>
      </c>
      <c r="AJ6" t="str">
        <f t="shared" si="0"/>
        <v>NORTH MARA GOLD MINE LIMITED_45996</v>
      </c>
    </row>
    <row r="7" spans="1:36" x14ac:dyDescent="0.35">
      <c r="A7">
        <v>698926</v>
      </c>
      <c r="C7" t="s">
        <v>18</v>
      </c>
      <c r="D7" t="s">
        <v>18</v>
      </c>
      <c r="E7" t="s">
        <v>18</v>
      </c>
      <c r="F7" t="s">
        <v>37</v>
      </c>
      <c r="G7">
        <v>4572336</v>
      </c>
      <c r="H7">
        <v>4572336</v>
      </c>
      <c r="I7">
        <f t="shared" si="1"/>
        <v>0</v>
      </c>
      <c r="J7" t="s">
        <v>20</v>
      </c>
      <c r="K7" t="s">
        <v>20</v>
      </c>
      <c r="L7" t="s">
        <v>56</v>
      </c>
      <c r="M7" t="s">
        <v>56</v>
      </c>
      <c r="N7" t="s">
        <v>65</v>
      </c>
      <c r="O7" t="s">
        <v>65</v>
      </c>
      <c r="P7" t="s">
        <v>23</v>
      </c>
      <c r="Q7" t="s">
        <v>23</v>
      </c>
      <c r="R7" s="7" t="s">
        <v>80</v>
      </c>
      <c r="S7" s="7" t="s">
        <v>80</v>
      </c>
      <c r="T7" s="8">
        <v>45996</v>
      </c>
      <c r="U7" s="9">
        <v>45996</v>
      </c>
      <c r="V7" s="7" t="s">
        <v>30</v>
      </c>
      <c r="W7" s="7" t="s">
        <v>49</v>
      </c>
      <c r="X7" s="7" t="s">
        <v>30</v>
      </c>
      <c r="Y7" s="7" t="s">
        <v>49</v>
      </c>
      <c r="Z7" s="7">
        <v>18.289344</v>
      </c>
      <c r="AA7" s="7">
        <v>18.655130880000002</v>
      </c>
      <c r="AB7">
        <f t="shared" si="2"/>
        <v>-2.0000000000000093</v>
      </c>
      <c r="AC7">
        <v>-240000</v>
      </c>
      <c r="AD7">
        <v>-240000</v>
      </c>
      <c r="AE7">
        <f t="shared" si="3"/>
        <v>0</v>
      </c>
      <c r="AF7" s="7">
        <v>-4389442.5599999996</v>
      </c>
      <c r="AG7" s="7">
        <v>-4477231.4112</v>
      </c>
      <c r="AH7">
        <f t="shared" si="5"/>
        <v>-2.0000000000000089</v>
      </c>
      <c r="AI7" t="s">
        <v>96</v>
      </c>
      <c r="AJ7" t="s">
        <v>96</v>
      </c>
    </row>
    <row r="8" spans="1:36" x14ac:dyDescent="0.35">
      <c r="A8">
        <v>698921</v>
      </c>
      <c r="C8" t="s">
        <v>18</v>
      </c>
      <c r="D8" t="s">
        <v>18</v>
      </c>
      <c r="E8" t="s">
        <v>18</v>
      </c>
      <c r="F8" t="s">
        <v>37</v>
      </c>
      <c r="G8">
        <v>320606000</v>
      </c>
      <c r="H8">
        <v>320606000</v>
      </c>
      <c r="I8">
        <f t="shared" si="1"/>
        <v>0</v>
      </c>
      <c r="J8" t="s">
        <v>20</v>
      </c>
      <c r="K8" t="s">
        <v>20</v>
      </c>
      <c r="L8" t="s">
        <v>56</v>
      </c>
      <c r="M8" t="s">
        <v>56</v>
      </c>
      <c r="N8" t="s">
        <v>58</v>
      </c>
      <c r="O8" t="s">
        <v>58</v>
      </c>
      <c r="P8" t="s">
        <v>23</v>
      </c>
      <c r="Q8" t="s">
        <v>23</v>
      </c>
      <c r="R8" s="7" t="s">
        <v>80</v>
      </c>
      <c r="S8" s="7" t="s">
        <v>80</v>
      </c>
      <c r="T8" s="8">
        <v>45996</v>
      </c>
      <c r="U8" s="9">
        <v>45996</v>
      </c>
      <c r="V8" s="7" t="s">
        <v>30</v>
      </c>
      <c r="W8" s="7" t="s">
        <v>49</v>
      </c>
      <c r="X8" s="7" t="s">
        <v>30</v>
      </c>
      <c r="Y8" s="7" t="s">
        <v>49</v>
      </c>
      <c r="Z8">
        <v>2342.89</v>
      </c>
      <c r="AA8">
        <v>2342.89</v>
      </c>
      <c r="AB8">
        <f t="shared" si="2"/>
        <v>0</v>
      </c>
      <c r="AC8">
        <v>-130000</v>
      </c>
      <c r="AD8">
        <v>-130000</v>
      </c>
      <c r="AE8">
        <f t="shared" si="3"/>
        <v>0</v>
      </c>
      <c r="AF8">
        <v>-304575700</v>
      </c>
      <c r="AG8">
        <v>-304575700</v>
      </c>
      <c r="AH8">
        <f t="shared" si="5"/>
        <v>0</v>
      </c>
      <c r="AI8" t="s">
        <v>97</v>
      </c>
      <c r="AJ8" t="s">
        <v>97</v>
      </c>
    </row>
    <row r="9" spans="1:36" x14ac:dyDescent="0.35">
      <c r="A9">
        <v>698910</v>
      </c>
      <c r="C9" t="s">
        <v>28</v>
      </c>
      <c r="D9" t="s">
        <v>28</v>
      </c>
      <c r="E9" t="s">
        <v>28</v>
      </c>
      <c r="F9" t="s">
        <v>28</v>
      </c>
      <c r="G9">
        <v>-9000</v>
      </c>
      <c r="H9">
        <v>-9000</v>
      </c>
      <c r="I9">
        <f t="shared" si="1"/>
        <v>0</v>
      </c>
      <c r="J9" t="s">
        <v>20</v>
      </c>
      <c r="K9" t="s">
        <v>20</v>
      </c>
      <c r="L9" t="s">
        <v>56</v>
      </c>
      <c r="M9" t="s">
        <v>56</v>
      </c>
      <c r="N9" t="s">
        <v>68</v>
      </c>
      <c r="O9" t="s">
        <v>68</v>
      </c>
      <c r="P9" t="s">
        <v>23</v>
      </c>
      <c r="Q9" t="s">
        <v>23</v>
      </c>
      <c r="R9" s="7" t="s">
        <v>81</v>
      </c>
      <c r="S9" s="7" t="s">
        <v>81</v>
      </c>
      <c r="T9" s="8">
        <v>46001</v>
      </c>
      <c r="U9" s="9">
        <v>46001</v>
      </c>
      <c r="V9" t="s">
        <v>24</v>
      </c>
      <c r="W9" t="s">
        <v>24</v>
      </c>
      <c r="X9" t="s">
        <v>25</v>
      </c>
      <c r="Y9" t="s">
        <v>25</v>
      </c>
      <c r="Z9" s="7">
        <v>2317.8082194999997</v>
      </c>
      <c r="AA9" s="7">
        <v>2248.2739729149998</v>
      </c>
      <c r="AB9">
        <f t="shared" si="2"/>
        <v>2.9999999999999956</v>
      </c>
      <c r="AC9">
        <v>3.65</v>
      </c>
      <c r="AD9">
        <v>3.65</v>
      </c>
      <c r="AE9">
        <f t="shared" si="3"/>
        <v>0</v>
      </c>
      <c r="AF9" s="7">
        <v>8460.000001174998</v>
      </c>
      <c r="AG9" s="7">
        <v>8206.2000011397486</v>
      </c>
      <c r="AH9">
        <f t="shared" si="5"/>
        <v>2.9999999999999942</v>
      </c>
      <c r="AI9" t="s">
        <v>98</v>
      </c>
      <c r="AJ9" t="s">
        <v>98</v>
      </c>
    </row>
    <row r="10" spans="1:36" x14ac:dyDescent="0.35">
      <c r="A10">
        <v>698870</v>
      </c>
      <c r="C10" t="s">
        <v>28</v>
      </c>
      <c r="D10" t="s">
        <v>28</v>
      </c>
      <c r="E10" t="s">
        <v>28</v>
      </c>
      <c r="F10" t="s">
        <v>28</v>
      </c>
      <c r="G10">
        <v>952570000</v>
      </c>
      <c r="H10">
        <v>952570000</v>
      </c>
      <c r="I10">
        <f t="shared" si="1"/>
        <v>0</v>
      </c>
      <c r="J10" t="s">
        <v>20</v>
      </c>
      <c r="K10" t="s">
        <v>20</v>
      </c>
      <c r="L10" t="s">
        <v>56</v>
      </c>
      <c r="M10" t="s">
        <v>56</v>
      </c>
      <c r="N10" t="s">
        <v>65</v>
      </c>
      <c r="O10" t="s">
        <v>65</v>
      </c>
      <c r="P10" t="s">
        <v>23</v>
      </c>
      <c r="Q10" t="s">
        <v>23</v>
      </c>
      <c r="R10" s="7" t="s">
        <v>82</v>
      </c>
      <c r="S10" s="7" t="s">
        <v>82</v>
      </c>
      <c r="T10" s="8">
        <v>45999</v>
      </c>
      <c r="U10" s="9">
        <v>45999</v>
      </c>
      <c r="V10" t="s">
        <v>75</v>
      </c>
      <c r="W10" t="s">
        <v>75</v>
      </c>
      <c r="X10" t="s">
        <v>75</v>
      </c>
      <c r="Y10" t="s">
        <v>75</v>
      </c>
      <c r="Z10" s="7">
        <v>17.717801999999999</v>
      </c>
      <c r="AA10" s="7">
        <v>18.072158039999998</v>
      </c>
      <c r="AB10">
        <f t="shared" si="2"/>
        <v>-1.9999999999999944</v>
      </c>
      <c r="AC10">
        <v>-50000000</v>
      </c>
      <c r="AD10">
        <v>-50000000</v>
      </c>
      <c r="AE10">
        <f t="shared" si="3"/>
        <v>0</v>
      </c>
      <c r="AF10" s="7">
        <v>-885890100</v>
      </c>
      <c r="AG10" s="7">
        <v>-903607901.99999988</v>
      </c>
      <c r="AH10">
        <f t="shared" si="5"/>
        <v>-1.9999999999999865</v>
      </c>
      <c r="AI10" t="s">
        <v>99</v>
      </c>
      <c r="AJ10" t="s">
        <v>99</v>
      </c>
    </row>
    <row r="11" spans="1:36" x14ac:dyDescent="0.35">
      <c r="A11">
        <v>698867</v>
      </c>
      <c r="C11" t="s">
        <v>28</v>
      </c>
      <c r="D11" t="s">
        <v>28</v>
      </c>
      <c r="E11" t="s">
        <v>28</v>
      </c>
      <c r="F11" t="s">
        <v>28</v>
      </c>
      <c r="G11">
        <v>33940000</v>
      </c>
      <c r="H11">
        <v>33940000</v>
      </c>
      <c r="I11">
        <f t="shared" si="1"/>
        <v>0</v>
      </c>
      <c r="J11" t="s">
        <v>20</v>
      </c>
      <c r="K11" t="s">
        <v>20</v>
      </c>
      <c r="L11" t="s">
        <v>56</v>
      </c>
      <c r="M11" t="s">
        <v>56</v>
      </c>
      <c r="N11" t="s">
        <v>58</v>
      </c>
      <c r="O11" t="s">
        <v>58</v>
      </c>
      <c r="P11" t="s">
        <v>23</v>
      </c>
      <c r="Q11" t="s">
        <v>23</v>
      </c>
      <c r="R11" s="7" t="s">
        <v>82</v>
      </c>
      <c r="S11" s="7" t="s">
        <v>82</v>
      </c>
      <c r="T11" s="8">
        <v>45999</v>
      </c>
      <c r="U11" s="9">
        <v>45999</v>
      </c>
      <c r="V11" t="s">
        <v>75</v>
      </c>
      <c r="W11" t="s">
        <v>75</v>
      </c>
      <c r="X11" t="s">
        <v>75</v>
      </c>
      <c r="Y11" t="s">
        <v>75</v>
      </c>
      <c r="Z11">
        <v>0.62449599999999994</v>
      </c>
      <c r="AA11">
        <v>0.62449599999999994</v>
      </c>
      <c r="AB11">
        <f t="shared" si="2"/>
        <v>0</v>
      </c>
      <c r="AC11">
        <v>-50000000</v>
      </c>
      <c r="AD11">
        <v>-50000000</v>
      </c>
      <c r="AE11">
        <f t="shared" si="3"/>
        <v>0</v>
      </c>
      <c r="AF11">
        <v>-31224799.999999996</v>
      </c>
      <c r="AG11">
        <v>-31224799.999999996</v>
      </c>
      <c r="AH11">
        <f t="shared" si="5"/>
        <v>0</v>
      </c>
      <c r="AI11" t="s">
        <v>100</v>
      </c>
      <c r="AJ11" t="s">
        <v>100</v>
      </c>
    </row>
    <row r="12" spans="1:36" x14ac:dyDescent="0.35">
      <c r="A12">
        <v>698862</v>
      </c>
      <c r="C12" t="s">
        <v>28</v>
      </c>
      <c r="D12" t="s">
        <v>28</v>
      </c>
      <c r="E12" t="s">
        <v>28</v>
      </c>
      <c r="F12" t="s">
        <v>28</v>
      </c>
      <c r="G12">
        <v>2466200000</v>
      </c>
      <c r="H12">
        <v>2466200000</v>
      </c>
      <c r="I12">
        <f t="shared" si="1"/>
        <v>0</v>
      </c>
      <c r="J12" t="s">
        <v>20</v>
      </c>
      <c r="K12" t="s">
        <v>20</v>
      </c>
      <c r="L12" t="s">
        <v>56</v>
      </c>
      <c r="M12" t="s">
        <v>56</v>
      </c>
      <c r="N12" t="s">
        <v>58</v>
      </c>
      <c r="O12" t="s">
        <v>58</v>
      </c>
      <c r="P12" t="s">
        <v>23</v>
      </c>
      <c r="Q12" t="s">
        <v>23</v>
      </c>
      <c r="R12" s="7" t="s">
        <v>82</v>
      </c>
      <c r="S12" s="7" t="s">
        <v>82</v>
      </c>
      <c r="T12" s="8">
        <v>45999</v>
      </c>
      <c r="U12" s="9">
        <v>45999</v>
      </c>
      <c r="V12" t="s">
        <v>75</v>
      </c>
      <c r="W12" t="s">
        <v>75</v>
      </c>
      <c r="X12" t="s">
        <v>75</v>
      </c>
      <c r="Y12" t="s">
        <v>75</v>
      </c>
      <c r="Z12" s="7">
        <v>2244.2419999999997</v>
      </c>
      <c r="AA12" s="7">
        <v>2176.9147399999997</v>
      </c>
      <c r="AB12">
        <f t="shared" si="2"/>
        <v>3.0000000000000013</v>
      </c>
      <c r="AC12">
        <v>-1000000</v>
      </c>
      <c r="AD12">
        <v>-1000000</v>
      </c>
      <c r="AE12">
        <f t="shared" si="3"/>
        <v>0</v>
      </c>
      <c r="AF12" s="7">
        <v>-2244241999.9999995</v>
      </c>
      <c r="AG12" s="7">
        <v>-2176914739.9999995</v>
      </c>
      <c r="AH12">
        <f t="shared" si="5"/>
        <v>3.0000000000000004</v>
      </c>
      <c r="AI12" t="s">
        <v>101</v>
      </c>
      <c r="AJ12" t="s">
        <v>101</v>
      </c>
    </row>
    <row r="13" spans="1:36" x14ac:dyDescent="0.35">
      <c r="A13">
        <v>698857</v>
      </c>
      <c r="C13" t="s">
        <v>28</v>
      </c>
      <c r="D13" t="s">
        <v>28</v>
      </c>
      <c r="E13" t="s">
        <v>28</v>
      </c>
      <c r="F13" t="s">
        <v>28</v>
      </c>
      <c r="G13">
        <v>-2300000000</v>
      </c>
      <c r="H13">
        <v>-2300000000</v>
      </c>
      <c r="I13">
        <f t="shared" si="1"/>
        <v>0</v>
      </c>
      <c r="J13" t="s">
        <v>20</v>
      </c>
      <c r="K13" t="s">
        <v>20</v>
      </c>
      <c r="L13" t="s">
        <v>56</v>
      </c>
      <c r="M13" t="s">
        <v>56</v>
      </c>
      <c r="N13" t="s">
        <v>58</v>
      </c>
      <c r="O13" t="s">
        <v>58</v>
      </c>
      <c r="P13" t="s">
        <v>23</v>
      </c>
      <c r="Q13" t="s">
        <v>23</v>
      </c>
      <c r="R13" s="7" t="s">
        <v>82</v>
      </c>
      <c r="S13" s="7" t="s">
        <v>82</v>
      </c>
      <c r="T13" s="8">
        <v>45999</v>
      </c>
      <c r="U13" s="9">
        <v>45999</v>
      </c>
      <c r="V13" t="s">
        <v>75</v>
      </c>
      <c r="W13" t="s">
        <v>75</v>
      </c>
      <c r="X13" t="s">
        <v>75</v>
      </c>
      <c r="Y13" t="s">
        <v>75</v>
      </c>
      <c r="Z13" s="7">
        <v>2070</v>
      </c>
      <c r="AA13" s="7">
        <v>2111.4</v>
      </c>
      <c r="AB13">
        <f t="shared" si="2"/>
        <v>-2.0000000000000044</v>
      </c>
      <c r="AC13">
        <v>1000000</v>
      </c>
      <c r="AD13">
        <v>1000000</v>
      </c>
      <c r="AE13">
        <f t="shared" si="3"/>
        <v>0</v>
      </c>
      <c r="AF13" s="7">
        <v>2070000000</v>
      </c>
      <c r="AG13" s="7">
        <v>2111400000</v>
      </c>
      <c r="AH13">
        <f t="shared" si="5"/>
        <v>-2</v>
      </c>
      <c r="AI13" t="s">
        <v>102</v>
      </c>
      <c r="AJ13" t="s">
        <v>102</v>
      </c>
    </row>
    <row r="14" spans="1:36" x14ac:dyDescent="0.35">
      <c r="A14">
        <v>698853</v>
      </c>
      <c r="C14" t="s">
        <v>18</v>
      </c>
      <c r="D14" t="s">
        <v>18</v>
      </c>
      <c r="E14" s="7" t="s">
        <v>18</v>
      </c>
      <c r="F14" s="7" t="s">
        <v>37</v>
      </c>
      <c r="G14">
        <v>-857500000</v>
      </c>
      <c r="H14">
        <v>-857500000</v>
      </c>
      <c r="I14">
        <f t="shared" si="1"/>
        <v>0</v>
      </c>
      <c r="J14" t="s">
        <v>20</v>
      </c>
      <c r="K14" t="s">
        <v>20</v>
      </c>
      <c r="L14" s="7" t="s">
        <v>21</v>
      </c>
      <c r="M14" s="7" t="s">
        <v>39</v>
      </c>
      <c r="N14" t="s">
        <v>33</v>
      </c>
      <c r="O14" t="s">
        <v>33</v>
      </c>
      <c r="P14" t="s">
        <v>23</v>
      </c>
      <c r="Q14" t="s">
        <v>23</v>
      </c>
      <c r="R14" s="7" t="s">
        <v>83</v>
      </c>
      <c r="S14" s="7" t="s">
        <v>83</v>
      </c>
      <c r="T14" s="8">
        <v>45995</v>
      </c>
      <c r="U14" s="9">
        <v>45995</v>
      </c>
      <c r="V14" t="s">
        <v>76</v>
      </c>
      <c r="W14" t="s">
        <v>76</v>
      </c>
      <c r="X14" t="s">
        <v>77</v>
      </c>
      <c r="Y14" t="s">
        <v>77</v>
      </c>
      <c r="Z14">
        <v>2180.5</v>
      </c>
      <c r="AA14">
        <v>2180.5</v>
      </c>
      <c r="AB14">
        <f t="shared" si="2"/>
        <v>0</v>
      </c>
      <c r="AC14">
        <v>350000</v>
      </c>
      <c r="AD14">
        <v>350000</v>
      </c>
      <c r="AE14">
        <f t="shared" si="3"/>
        <v>0</v>
      </c>
      <c r="AF14">
        <v>763175000</v>
      </c>
      <c r="AG14">
        <v>763175000</v>
      </c>
      <c r="AH14">
        <f t="shared" si="5"/>
        <v>0</v>
      </c>
      <c r="AI14" t="s">
        <v>103</v>
      </c>
      <c r="AJ14" t="s">
        <v>103</v>
      </c>
    </row>
    <row r="15" spans="1:36" x14ac:dyDescent="0.35">
      <c r="A15">
        <v>698848</v>
      </c>
      <c r="C15" t="s">
        <v>18</v>
      </c>
      <c r="D15" t="s">
        <v>18</v>
      </c>
      <c r="E15" s="7" t="s">
        <v>18</v>
      </c>
      <c r="F15" s="7" t="s">
        <v>37</v>
      </c>
      <c r="G15">
        <v>625000000</v>
      </c>
      <c r="H15">
        <v>625000000</v>
      </c>
      <c r="I15">
        <f t="shared" si="1"/>
        <v>0</v>
      </c>
      <c r="J15" t="s">
        <v>20</v>
      </c>
      <c r="K15" t="s">
        <v>20</v>
      </c>
      <c r="L15" s="7" t="s">
        <v>21</v>
      </c>
      <c r="M15" s="7" t="s">
        <v>39</v>
      </c>
      <c r="N15" t="s">
        <v>57</v>
      </c>
      <c r="O15" t="s">
        <v>57</v>
      </c>
      <c r="P15" t="s">
        <v>23</v>
      </c>
      <c r="Q15" t="s">
        <v>23</v>
      </c>
      <c r="R15" s="7" t="s">
        <v>83</v>
      </c>
      <c r="S15" s="7" t="s">
        <v>83</v>
      </c>
      <c r="T15" s="8">
        <v>45995</v>
      </c>
      <c r="U15" s="9">
        <v>45995</v>
      </c>
      <c r="V15" t="s">
        <v>76</v>
      </c>
      <c r="W15" t="s">
        <v>76</v>
      </c>
      <c r="X15" t="s">
        <v>77</v>
      </c>
      <c r="Y15" t="s">
        <v>77</v>
      </c>
      <c r="Z15" s="7">
        <v>2200</v>
      </c>
      <c r="AA15" s="7">
        <v>2134</v>
      </c>
      <c r="AB15">
        <f t="shared" si="2"/>
        <v>3</v>
      </c>
      <c r="AC15">
        <v>-250000</v>
      </c>
      <c r="AD15">
        <v>-250000</v>
      </c>
      <c r="AE15">
        <f t="shared" si="3"/>
        <v>0</v>
      </c>
      <c r="AF15" s="7">
        <v>-550000000</v>
      </c>
      <c r="AG15" s="7">
        <v>-533500000</v>
      </c>
      <c r="AH15">
        <f t="shared" si="5"/>
        <v>3</v>
      </c>
      <c r="AI15" t="s">
        <v>104</v>
      </c>
      <c r="AJ15" t="s">
        <v>104</v>
      </c>
    </row>
    <row r="16" spans="1:36" x14ac:dyDescent="0.35">
      <c r="A16">
        <v>698801</v>
      </c>
      <c r="C16" t="s">
        <v>28</v>
      </c>
      <c r="D16" t="s">
        <v>28</v>
      </c>
      <c r="E16" t="s">
        <v>28</v>
      </c>
      <c r="F16" t="s">
        <v>28</v>
      </c>
      <c r="G16">
        <v>-9000</v>
      </c>
      <c r="H16">
        <v>-9000</v>
      </c>
      <c r="I16">
        <f t="shared" si="1"/>
        <v>0</v>
      </c>
      <c r="J16" t="s">
        <v>20</v>
      </c>
      <c r="K16" t="s">
        <v>20</v>
      </c>
      <c r="L16" t="s">
        <v>56</v>
      </c>
      <c r="M16" t="s">
        <v>56</v>
      </c>
      <c r="N16" t="s">
        <v>68</v>
      </c>
      <c r="O16" t="s">
        <v>68</v>
      </c>
      <c r="P16" t="s">
        <v>23</v>
      </c>
      <c r="Q16" t="s">
        <v>23</v>
      </c>
      <c r="R16" s="7" t="s">
        <v>84</v>
      </c>
      <c r="S16" s="7" t="s">
        <v>84</v>
      </c>
      <c r="T16" s="8">
        <v>45996</v>
      </c>
      <c r="U16" s="9">
        <v>45996</v>
      </c>
      <c r="V16" t="s">
        <v>24</v>
      </c>
      <c r="W16" t="s">
        <v>24</v>
      </c>
      <c r="X16" t="s">
        <v>25</v>
      </c>
      <c r="Y16" t="s">
        <v>25</v>
      </c>
      <c r="Z16" s="7">
        <v>2441.0958907499999</v>
      </c>
      <c r="AA16" s="7">
        <v>2489.9178085649996</v>
      </c>
      <c r="AB16">
        <f t="shared" si="2"/>
        <v>-1.9999999999999911</v>
      </c>
      <c r="AC16">
        <v>3.65</v>
      </c>
      <c r="AD16">
        <v>3.65</v>
      </c>
      <c r="AE16">
        <f t="shared" si="3"/>
        <v>0</v>
      </c>
      <c r="AF16" s="7">
        <v>8910.0000012374985</v>
      </c>
      <c r="AG16" s="7">
        <v>9088.2000012622484</v>
      </c>
      <c r="AH16">
        <f t="shared" si="5"/>
        <v>-1.9999999999999993</v>
      </c>
      <c r="AI16" t="s">
        <v>105</v>
      </c>
      <c r="AJ16" t="s">
        <v>105</v>
      </c>
    </row>
    <row r="17" spans="1:36" x14ac:dyDescent="0.35">
      <c r="A17">
        <v>698796</v>
      </c>
      <c r="C17" t="s">
        <v>28</v>
      </c>
      <c r="D17" t="s">
        <v>28</v>
      </c>
      <c r="E17" t="s">
        <v>28</v>
      </c>
      <c r="F17" t="s">
        <v>28</v>
      </c>
      <c r="G17">
        <v>100000</v>
      </c>
      <c r="H17">
        <v>100000</v>
      </c>
      <c r="I17">
        <f t="shared" si="1"/>
        <v>0</v>
      </c>
      <c r="J17" t="s">
        <v>20</v>
      </c>
      <c r="K17" t="s">
        <v>20</v>
      </c>
      <c r="L17" s="7" t="s">
        <v>21</v>
      </c>
      <c r="M17" s="7" t="s">
        <v>39</v>
      </c>
      <c r="N17" t="s">
        <v>29</v>
      </c>
      <c r="O17" t="s">
        <v>29</v>
      </c>
      <c r="P17" t="s">
        <v>23</v>
      </c>
      <c r="Q17" t="s">
        <v>23</v>
      </c>
      <c r="R17" s="7" t="s">
        <v>85</v>
      </c>
      <c r="S17" s="7" t="s">
        <v>85</v>
      </c>
      <c r="T17" s="8">
        <v>45996</v>
      </c>
      <c r="U17" s="9">
        <v>45996</v>
      </c>
      <c r="V17" t="s">
        <v>24</v>
      </c>
      <c r="W17" t="s">
        <v>24</v>
      </c>
      <c r="X17" t="s">
        <v>31</v>
      </c>
      <c r="Y17" t="s">
        <v>31</v>
      </c>
      <c r="Z17">
        <v>2416.7694200999999</v>
      </c>
      <c r="AA17">
        <v>2416.7694200999999</v>
      </c>
      <c r="AB17">
        <f t="shared" si="2"/>
        <v>0</v>
      </c>
      <c r="AC17">
        <v>-40.549999999999997</v>
      </c>
      <c r="AD17">
        <v>-40.549999999999997</v>
      </c>
      <c r="AE17">
        <f t="shared" si="3"/>
        <v>0</v>
      </c>
      <c r="AF17">
        <v>-97999.999985054994</v>
      </c>
      <c r="AG17">
        <v>-97999.999985054994</v>
      </c>
      <c r="AH17">
        <f t="shared" si="5"/>
        <v>0</v>
      </c>
      <c r="AI17" t="s">
        <v>106</v>
      </c>
      <c r="AJ17" t="s">
        <v>106</v>
      </c>
    </row>
    <row r="18" spans="1:36" x14ac:dyDescent="0.35">
      <c r="A18">
        <v>698596</v>
      </c>
      <c r="C18" t="s">
        <v>28</v>
      </c>
      <c r="D18" t="s">
        <v>28</v>
      </c>
      <c r="E18" t="s">
        <v>28</v>
      </c>
      <c r="F18" t="s">
        <v>28</v>
      </c>
      <c r="G18">
        <v>-5000</v>
      </c>
      <c r="H18">
        <v>-5000</v>
      </c>
      <c r="I18">
        <f t="shared" si="1"/>
        <v>0</v>
      </c>
      <c r="J18" t="s">
        <v>20</v>
      </c>
      <c r="K18" t="s">
        <v>20</v>
      </c>
      <c r="L18" t="s">
        <v>56</v>
      </c>
      <c r="M18" t="s">
        <v>56</v>
      </c>
      <c r="N18" t="s">
        <v>68</v>
      </c>
      <c r="O18" t="s">
        <v>68</v>
      </c>
      <c r="P18" t="s">
        <v>23</v>
      </c>
      <c r="Q18" t="s">
        <v>23</v>
      </c>
      <c r="R18" s="7" t="s">
        <v>86</v>
      </c>
      <c r="S18" s="7" t="s">
        <v>86</v>
      </c>
      <c r="T18" s="8">
        <v>45996</v>
      </c>
      <c r="U18" s="9">
        <v>45996</v>
      </c>
      <c r="V18" t="s">
        <v>24</v>
      </c>
      <c r="W18" t="s">
        <v>24</v>
      </c>
      <c r="X18" t="s">
        <v>25</v>
      </c>
      <c r="Y18" t="s">
        <v>25</v>
      </c>
      <c r="Z18" s="7">
        <v>2389.1625613900001</v>
      </c>
      <c r="AA18" s="7">
        <v>2317.4876845483</v>
      </c>
      <c r="AB18">
        <f t="shared" si="2"/>
        <v>3.000000000000004</v>
      </c>
      <c r="AC18">
        <v>2.0299999999999998</v>
      </c>
      <c r="AD18">
        <v>2.0299999999999998</v>
      </c>
      <c r="AE18">
        <f t="shared" si="3"/>
        <v>0</v>
      </c>
      <c r="AF18" s="7">
        <v>4849.9999996216993</v>
      </c>
      <c r="AG18" s="7">
        <v>4704.4999996330489</v>
      </c>
      <c r="AH18">
        <f t="shared" si="5"/>
        <v>2.9999999999999885</v>
      </c>
      <c r="AI18" t="s">
        <v>107</v>
      </c>
      <c r="AJ18" t="s">
        <v>107</v>
      </c>
    </row>
    <row r="19" spans="1:36" x14ac:dyDescent="0.35">
      <c r="A19">
        <v>698402</v>
      </c>
      <c r="C19" t="s">
        <v>28</v>
      </c>
      <c r="D19" t="s">
        <v>28</v>
      </c>
      <c r="E19" t="s">
        <v>28</v>
      </c>
      <c r="F19" t="s">
        <v>28</v>
      </c>
      <c r="G19">
        <v>-9000</v>
      </c>
      <c r="H19">
        <v>-9000</v>
      </c>
      <c r="I19">
        <f t="shared" si="1"/>
        <v>0</v>
      </c>
      <c r="J19" t="s">
        <v>20</v>
      </c>
      <c r="K19" t="s">
        <v>20</v>
      </c>
      <c r="L19" t="s">
        <v>56</v>
      </c>
      <c r="M19" t="s">
        <v>56</v>
      </c>
      <c r="N19" t="s">
        <v>68</v>
      </c>
      <c r="O19" t="s">
        <v>68</v>
      </c>
      <c r="P19" t="s">
        <v>23</v>
      </c>
      <c r="Q19" t="s">
        <v>23</v>
      </c>
      <c r="R19" s="7" t="s">
        <v>87</v>
      </c>
      <c r="S19" s="7" t="s">
        <v>87</v>
      </c>
      <c r="T19" s="8">
        <v>45996</v>
      </c>
      <c r="U19" s="9">
        <v>45996</v>
      </c>
      <c r="V19" t="s">
        <v>24</v>
      </c>
      <c r="W19" t="s">
        <v>24</v>
      </c>
      <c r="X19" t="s">
        <v>25</v>
      </c>
      <c r="Y19" t="s">
        <v>25</v>
      </c>
      <c r="Z19" s="7">
        <v>2367.1232879999998</v>
      </c>
      <c r="AA19" s="7">
        <v>2414.4657537599996</v>
      </c>
      <c r="AB19">
        <f t="shared" si="2"/>
        <v>-1.9999999999999944</v>
      </c>
      <c r="AC19">
        <v>3.65</v>
      </c>
      <c r="AD19">
        <v>3.65</v>
      </c>
      <c r="AE19">
        <f t="shared" si="3"/>
        <v>0</v>
      </c>
      <c r="AF19" s="7">
        <v>8640.0000011999982</v>
      </c>
      <c r="AG19" s="7">
        <v>8812.8000012239991</v>
      </c>
      <c r="AH19">
        <f t="shared" si="5"/>
        <v>-2.0000000000000102</v>
      </c>
      <c r="AI19" t="s">
        <v>108</v>
      </c>
      <c r="AJ19" t="s">
        <v>108</v>
      </c>
    </row>
    <row r="20" spans="1:36" x14ac:dyDescent="0.35">
      <c r="A20">
        <v>698318</v>
      </c>
      <c r="C20" t="s">
        <v>28</v>
      </c>
      <c r="D20" t="s">
        <v>28</v>
      </c>
      <c r="E20" t="s">
        <v>28</v>
      </c>
      <c r="F20" t="s">
        <v>28</v>
      </c>
      <c r="G20">
        <v>-12331000</v>
      </c>
      <c r="H20">
        <v>-12331000</v>
      </c>
      <c r="I20">
        <f t="shared" si="1"/>
        <v>0</v>
      </c>
      <c r="J20" t="s">
        <v>20</v>
      </c>
      <c r="K20" t="s">
        <v>20</v>
      </c>
      <c r="L20" t="s">
        <v>56</v>
      </c>
      <c r="M20" t="s">
        <v>56</v>
      </c>
      <c r="N20" t="s">
        <v>68</v>
      </c>
      <c r="O20" t="s">
        <v>68</v>
      </c>
      <c r="P20" t="s">
        <v>23</v>
      </c>
      <c r="Q20" t="s">
        <v>23</v>
      </c>
      <c r="R20" s="7" t="s">
        <v>88</v>
      </c>
      <c r="S20" s="7" t="s">
        <v>88</v>
      </c>
      <c r="T20" s="8">
        <v>45995</v>
      </c>
      <c r="U20" s="9">
        <v>45995</v>
      </c>
      <c r="V20" t="s">
        <v>24</v>
      </c>
      <c r="W20" t="s">
        <v>24</v>
      </c>
      <c r="X20" t="s">
        <v>25</v>
      </c>
      <c r="Y20" t="s">
        <v>25</v>
      </c>
      <c r="Z20">
        <v>2342.89</v>
      </c>
      <c r="AA20">
        <v>2342.89</v>
      </c>
      <c r="AB20">
        <f t="shared" si="2"/>
        <v>0</v>
      </c>
      <c r="AC20">
        <v>5000</v>
      </c>
      <c r="AD20">
        <v>5000</v>
      </c>
      <c r="AE20">
        <f t="shared" si="3"/>
        <v>0</v>
      </c>
      <c r="AF20">
        <v>11714450</v>
      </c>
      <c r="AG20">
        <v>11714450</v>
      </c>
      <c r="AH20">
        <f t="shared" si="5"/>
        <v>0</v>
      </c>
      <c r="AI20" t="s">
        <v>109</v>
      </c>
      <c r="AJ20" t="s">
        <v>109</v>
      </c>
    </row>
    <row r="21" spans="1:36" x14ac:dyDescent="0.35">
      <c r="A21">
        <v>698317</v>
      </c>
      <c r="C21" t="s">
        <v>28</v>
      </c>
      <c r="D21" t="s">
        <v>28</v>
      </c>
      <c r="E21" t="s">
        <v>28</v>
      </c>
      <c r="F21" t="s">
        <v>28</v>
      </c>
      <c r="G21">
        <v>-9000</v>
      </c>
      <c r="H21">
        <v>-9000</v>
      </c>
      <c r="I21">
        <f t="shared" si="1"/>
        <v>0</v>
      </c>
      <c r="J21" t="s">
        <v>20</v>
      </c>
      <c r="K21" t="s">
        <v>20</v>
      </c>
      <c r="L21" t="s">
        <v>56</v>
      </c>
      <c r="M21" t="s">
        <v>56</v>
      </c>
      <c r="N21" t="s">
        <v>68</v>
      </c>
      <c r="O21" t="s">
        <v>68</v>
      </c>
      <c r="P21" t="s">
        <v>23</v>
      </c>
      <c r="Q21" t="s">
        <v>23</v>
      </c>
      <c r="R21" s="7" t="s">
        <v>89</v>
      </c>
      <c r="S21" s="7" t="s">
        <v>89</v>
      </c>
      <c r="T21" s="8">
        <v>45995</v>
      </c>
      <c r="U21" s="9">
        <v>45995</v>
      </c>
      <c r="V21" t="s">
        <v>24</v>
      </c>
      <c r="W21" t="s">
        <v>24</v>
      </c>
      <c r="X21" t="s">
        <v>25</v>
      </c>
      <c r="Y21" t="s">
        <v>25</v>
      </c>
      <c r="Z21" s="7">
        <v>2317.8082194999997</v>
      </c>
      <c r="AA21" s="7">
        <v>2248.2739729149998</v>
      </c>
      <c r="AB21">
        <f t="shared" si="2"/>
        <v>2.9999999999999956</v>
      </c>
      <c r="AC21">
        <v>3.65</v>
      </c>
      <c r="AD21">
        <v>3.65</v>
      </c>
      <c r="AE21">
        <f t="shared" si="3"/>
        <v>0</v>
      </c>
      <c r="AF21" s="7">
        <v>8460.000001174998</v>
      </c>
      <c r="AG21" s="7">
        <v>8206.2000011397486</v>
      </c>
      <c r="AH21">
        <f t="shared" si="5"/>
        <v>2.9999999999999942</v>
      </c>
      <c r="AI21" t="s">
        <v>110</v>
      </c>
      <c r="AJ21" t="s">
        <v>110</v>
      </c>
    </row>
    <row r="22" spans="1:36" x14ac:dyDescent="0.35">
      <c r="A22">
        <v>698215</v>
      </c>
      <c r="C22" t="s">
        <v>18</v>
      </c>
      <c r="D22" t="s">
        <v>18</v>
      </c>
      <c r="E22" s="7" t="s">
        <v>18</v>
      </c>
      <c r="F22" s="7" t="s">
        <v>37</v>
      </c>
      <c r="G22">
        <v>-14797200</v>
      </c>
      <c r="H22">
        <v>-14797200</v>
      </c>
      <c r="I22">
        <f t="shared" si="1"/>
        <v>0</v>
      </c>
      <c r="J22" t="s">
        <v>20</v>
      </c>
      <c r="K22" t="s">
        <v>20</v>
      </c>
      <c r="L22" s="7" t="s">
        <v>118</v>
      </c>
      <c r="M22" s="7" t="s">
        <v>117</v>
      </c>
      <c r="N22" t="s">
        <v>78</v>
      </c>
      <c r="O22" t="s">
        <v>78</v>
      </c>
      <c r="P22" t="s">
        <v>79</v>
      </c>
      <c r="Q22" t="s">
        <v>79</v>
      </c>
      <c r="R22" s="7" t="s">
        <v>90</v>
      </c>
      <c r="S22" s="7" t="s">
        <v>90</v>
      </c>
      <c r="T22" s="8">
        <v>45993</v>
      </c>
      <c r="U22" s="9">
        <v>45993</v>
      </c>
      <c r="V22" t="s">
        <v>24</v>
      </c>
      <c r="W22" t="s">
        <v>24</v>
      </c>
      <c r="X22" t="s">
        <v>25</v>
      </c>
      <c r="Y22" t="s">
        <v>25</v>
      </c>
      <c r="Z22" s="7">
        <v>2293.5659999999998</v>
      </c>
      <c r="AA22" s="7">
        <v>2339.43732</v>
      </c>
      <c r="AB22">
        <f t="shared" si="2"/>
        <v>-2.0000000000000089</v>
      </c>
      <c r="AC22">
        <v>6000</v>
      </c>
      <c r="AD22">
        <v>6000</v>
      </c>
      <c r="AE22">
        <f t="shared" si="3"/>
        <v>0</v>
      </c>
      <c r="AF22" s="7">
        <v>13761395.999999998</v>
      </c>
      <c r="AG22" s="7">
        <v>14036623.92</v>
      </c>
      <c r="AH22">
        <f t="shared" si="5"/>
        <v>-2.0000000000000133</v>
      </c>
      <c r="AI22" t="s">
        <v>111</v>
      </c>
      <c r="AJ22" t="s">
        <v>111</v>
      </c>
    </row>
    <row r="23" spans="1:36" x14ac:dyDescent="0.35">
      <c r="A23">
        <v>698212</v>
      </c>
      <c r="C23" t="s">
        <v>28</v>
      </c>
      <c r="D23" t="s">
        <v>28</v>
      </c>
      <c r="E23" t="s">
        <v>28</v>
      </c>
      <c r="F23" t="s">
        <v>28</v>
      </c>
      <c r="G23">
        <v>-14797200</v>
      </c>
      <c r="H23">
        <v>-14797200</v>
      </c>
      <c r="I23">
        <f t="shared" si="1"/>
        <v>0</v>
      </c>
      <c r="J23" t="s">
        <v>20</v>
      </c>
      <c r="K23" t="s">
        <v>20</v>
      </c>
      <c r="L23" s="7" t="s">
        <v>118</v>
      </c>
      <c r="M23" s="7" t="s">
        <v>117</v>
      </c>
      <c r="N23" t="s">
        <v>78</v>
      </c>
      <c r="O23" t="s">
        <v>78</v>
      </c>
      <c r="P23" t="s">
        <v>79</v>
      </c>
      <c r="Q23" t="s">
        <v>79</v>
      </c>
      <c r="R23" s="7" t="s">
        <v>91</v>
      </c>
      <c r="S23" s="7" t="s">
        <v>91</v>
      </c>
      <c r="T23" s="8">
        <v>45995</v>
      </c>
      <c r="U23" s="9">
        <v>45995</v>
      </c>
      <c r="V23" t="s">
        <v>24</v>
      </c>
      <c r="W23" t="s">
        <v>24</v>
      </c>
      <c r="X23" t="s">
        <v>25</v>
      </c>
      <c r="Y23" t="s">
        <v>25</v>
      </c>
      <c r="Z23">
        <v>2268.904</v>
      </c>
      <c r="AA23">
        <v>2268.904</v>
      </c>
      <c r="AB23">
        <f t="shared" si="2"/>
        <v>0</v>
      </c>
      <c r="AC23">
        <v>6000</v>
      </c>
      <c r="AD23">
        <v>6000</v>
      </c>
      <c r="AE23">
        <f t="shared" si="3"/>
        <v>0</v>
      </c>
      <c r="AF23">
        <v>13613424</v>
      </c>
      <c r="AG23">
        <v>13613424</v>
      </c>
      <c r="AH23">
        <f t="shared" si="5"/>
        <v>0</v>
      </c>
      <c r="AI23" t="s">
        <v>112</v>
      </c>
      <c r="AJ23" t="s">
        <v>112</v>
      </c>
    </row>
    <row r="24" spans="1:36" x14ac:dyDescent="0.35">
      <c r="A24">
        <v>698211</v>
      </c>
      <c r="C24" t="s">
        <v>28</v>
      </c>
      <c r="D24" t="s">
        <v>28</v>
      </c>
      <c r="E24" t="s">
        <v>28</v>
      </c>
      <c r="F24" t="s">
        <v>28</v>
      </c>
      <c r="G24">
        <v>-6000</v>
      </c>
      <c r="H24">
        <v>-6000</v>
      </c>
      <c r="I24">
        <f t="shared" si="1"/>
        <v>0</v>
      </c>
      <c r="J24" t="s">
        <v>20</v>
      </c>
      <c r="K24" t="s">
        <v>20</v>
      </c>
      <c r="L24" t="s">
        <v>56</v>
      </c>
      <c r="M24" t="s">
        <v>56</v>
      </c>
      <c r="N24" t="s">
        <v>68</v>
      </c>
      <c r="O24" t="s">
        <v>68</v>
      </c>
      <c r="P24" t="s">
        <v>23</v>
      </c>
      <c r="Q24" t="s">
        <v>23</v>
      </c>
      <c r="R24" s="7" t="s">
        <v>92</v>
      </c>
      <c r="S24" s="7" t="s">
        <v>92</v>
      </c>
      <c r="T24" s="8">
        <v>45995</v>
      </c>
      <c r="U24" s="9">
        <v>45995</v>
      </c>
      <c r="V24" t="s">
        <v>24</v>
      </c>
      <c r="W24" t="s">
        <v>24</v>
      </c>
      <c r="X24" t="s">
        <v>25</v>
      </c>
      <c r="Y24" t="s">
        <v>25</v>
      </c>
      <c r="Z24" s="7">
        <v>2246.91357982</v>
      </c>
      <c r="AA24" s="7">
        <v>2179.5061724254001</v>
      </c>
      <c r="AB24">
        <f t="shared" si="2"/>
        <v>2.9999999999999951</v>
      </c>
      <c r="AC24">
        <v>2.4300000000000002</v>
      </c>
      <c r="AD24">
        <v>2.4300000000000002</v>
      </c>
      <c r="AE24">
        <f t="shared" si="3"/>
        <v>0</v>
      </c>
      <c r="AF24" s="7">
        <v>5459.9999989626003</v>
      </c>
      <c r="AG24" s="7">
        <v>5296.1999989937231</v>
      </c>
      <c r="AH24">
        <f t="shared" si="5"/>
        <v>2.9999999999999862</v>
      </c>
      <c r="AI24" t="s">
        <v>113</v>
      </c>
      <c r="AJ24" t="s">
        <v>113</v>
      </c>
    </row>
    <row r="25" spans="1:36" x14ac:dyDescent="0.35">
      <c r="A25">
        <v>698210</v>
      </c>
      <c r="C25" t="s">
        <v>28</v>
      </c>
      <c r="D25" t="s">
        <v>28</v>
      </c>
      <c r="E25" t="s">
        <v>28</v>
      </c>
      <c r="F25" t="s">
        <v>28</v>
      </c>
      <c r="G25">
        <v>-22195800</v>
      </c>
      <c r="H25">
        <v>-22195800</v>
      </c>
      <c r="I25">
        <f t="shared" si="1"/>
        <v>0</v>
      </c>
      <c r="J25" t="s">
        <v>20</v>
      </c>
      <c r="K25" t="s">
        <v>20</v>
      </c>
      <c r="L25" t="s">
        <v>56</v>
      </c>
      <c r="M25" t="s">
        <v>56</v>
      </c>
      <c r="N25" t="s">
        <v>68</v>
      </c>
      <c r="O25" t="s">
        <v>68</v>
      </c>
      <c r="P25" t="s">
        <v>23</v>
      </c>
      <c r="Q25" t="s">
        <v>23</v>
      </c>
      <c r="R25" s="7" t="s">
        <v>93</v>
      </c>
      <c r="S25" s="7" t="s">
        <v>93</v>
      </c>
      <c r="T25" s="8">
        <v>45995</v>
      </c>
      <c r="U25" s="9">
        <v>45995</v>
      </c>
      <c r="V25" t="s">
        <v>24</v>
      </c>
      <c r="W25" t="s">
        <v>24</v>
      </c>
      <c r="X25" t="s">
        <v>25</v>
      </c>
      <c r="Y25" t="s">
        <v>25</v>
      </c>
      <c r="Z25" s="7">
        <v>2219.58</v>
      </c>
      <c r="AA25" s="7">
        <v>2263.9715999999999</v>
      </c>
      <c r="AB25">
        <f t="shared" si="2"/>
        <v>-1.9999999999999967</v>
      </c>
      <c r="AC25">
        <v>9000</v>
      </c>
      <c r="AD25">
        <v>9000</v>
      </c>
      <c r="AE25">
        <f t="shared" si="3"/>
        <v>0</v>
      </c>
      <c r="AF25" s="7">
        <v>19976220</v>
      </c>
      <c r="AG25" s="7">
        <v>20375744.399999999</v>
      </c>
      <c r="AH25">
        <f t="shared" si="5"/>
        <v>-1.9999999999999925</v>
      </c>
      <c r="AI25" t="s">
        <v>114</v>
      </c>
      <c r="AJ25" t="s">
        <v>114</v>
      </c>
    </row>
    <row r="26" spans="1:36" x14ac:dyDescent="0.35">
      <c r="A26">
        <v>698209</v>
      </c>
      <c r="C26" t="s">
        <v>28</v>
      </c>
      <c r="D26" t="s">
        <v>28</v>
      </c>
      <c r="E26" t="s">
        <v>28</v>
      </c>
      <c r="F26" t="s">
        <v>28</v>
      </c>
      <c r="G26">
        <v>-22195800</v>
      </c>
      <c r="H26">
        <v>-22195800</v>
      </c>
      <c r="I26">
        <f t="shared" si="1"/>
        <v>0</v>
      </c>
      <c r="J26" t="s">
        <v>20</v>
      </c>
      <c r="K26" t="s">
        <v>20</v>
      </c>
      <c r="L26" t="s">
        <v>56</v>
      </c>
      <c r="M26" t="s">
        <v>56</v>
      </c>
      <c r="N26" t="s">
        <v>68</v>
      </c>
      <c r="O26" t="s">
        <v>68</v>
      </c>
      <c r="P26" t="s">
        <v>23</v>
      </c>
      <c r="Q26" t="s">
        <v>23</v>
      </c>
      <c r="R26" s="7" t="s">
        <v>94</v>
      </c>
      <c r="S26" s="7" t="s">
        <v>94</v>
      </c>
      <c r="T26" s="8">
        <v>45995</v>
      </c>
      <c r="U26" s="9">
        <v>45995</v>
      </c>
      <c r="V26" t="s">
        <v>24</v>
      </c>
      <c r="W26" t="s">
        <v>24</v>
      </c>
      <c r="X26" t="s">
        <v>25</v>
      </c>
      <c r="Y26" t="s">
        <v>25</v>
      </c>
      <c r="Z26">
        <v>2194.9179999999997</v>
      </c>
      <c r="AA26">
        <v>2194.9179999999997</v>
      </c>
      <c r="AB26">
        <f t="shared" si="2"/>
        <v>0</v>
      </c>
      <c r="AC26">
        <v>9000</v>
      </c>
      <c r="AD26">
        <v>9000</v>
      </c>
      <c r="AE26">
        <f t="shared" si="3"/>
        <v>0</v>
      </c>
      <c r="AF26">
        <v>19754261.999999996</v>
      </c>
      <c r="AG26">
        <v>19754261.999999996</v>
      </c>
      <c r="AH26">
        <f t="shared" si="5"/>
        <v>0</v>
      </c>
      <c r="AI26" t="s">
        <v>115</v>
      </c>
      <c r="AJ26" t="s">
        <v>115</v>
      </c>
    </row>
    <row r="27" spans="1:36" x14ac:dyDescent="0.35">
      <c r="A27">
        <v>698198</v>
      </c>
      <c r="C27" t="s">
        <v>28</v>
      </c>
      <c r="D27" t="s">
        <v>28</v>
      </c>
      <c r="E27" t="s">
        <v>28</v>
      </c>
      <c r="F27" t="s">
        <v>28</v>
      </c>
      <c r="G27">
        <v>-2000</v>
      </c>
      <c r="H27">
        <v>-2000</v>
      </c>
      <c r="I27">
        <f t="shared" si="1"/>
        <v>0</v>
      </c>
      <c r="J27" t="s">
        <v>20</v>
      </c>
      <c r="K27" t="s">
        <v>20</v>
      </c>
      <c r="L27" t="s">
        <v>56</v>
      </c>
      <c r="M27" t="s">
        <v>56</v>
      </c>
      <c r="N27" t="s">
        <v>68</v>
      </c>
      <c r="O27" t="s">
        <v>68</v>
      </c>
      <c r="P27" t="s">
        <v>23</v>
      </c>
      <c r="Q27" t="s">
        <v>23</v>
      </c>
      <c r="R27" s="7" t="s">
        <v>95</v>
      </c>
      <c r="S27" s="7" t="s">
        <v>95</v>
      </c>
      <c r="T27" s="8">
        <v>45995</v>
      </c>
      <c r="U27" s="9">
        <v>45995</v>
      </c>
      <c r="V27" t="s">
        <v>24</v>
      </c>
      <c r="W27" t="s">
        <v>24</v>
      </c>
      <c r="X27" t="s">
        <v>25</v>
      </c>
      <c r="Y27" t="s">
        <v>25</v>
      </c>
      <c r="Z27" s="7">
        <v>2172.8395057600001</v>
      </c>
      <c r="AA27" s="7">
        <v>2107.6543205871999</v>
      </c>
      <c r="AB27">
        <f t="shared" si="2"/>
        <v>3.000000000000008</v>
      </c>
      <c r="AC27">
        <v>0.81</v>
      </c>
      <c r="AD27">
        <v>0.81</v>
      </c>
      <c r="AE27">
        <f t="shared" si="3"/>
        <v>0</v>
      </c>
      <c r="AF27" s="7">
        <v>1759.9999996656002</v>
      </c>
      <c r="AG27" s="7">
        <v>1707.1999996756319</v>
      </c>
      <c r="AH27">
        <f t="shared" si="5"/>
        <v>3.0000000000000129</v>
      </c>
      <c r="AI27" t="s">
        <v>116</v>
      </c>
      <c r="AJ27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7406-C036-43C5-AFE9-78521CAB8030}">
  <dimension ref="A1:AJ4"/>
  <sheetViews>
    <sheetView topLeftCell="P1" workbookViewId="0">
      <selection activeCell="AF3" sqref="AF3:AH3"/>
    </sheetView>
  </sheetViews>
  <sheetFormatPr defaultRowHeight="14.5" x14ac:dyDescent="0.35"/>
  <cols>
    <col min="3" max="3" width="9.7265625" bestFit="1" customWidth="1"/>
    <col min="4" max="4" width="11.7265625" bestFit="1" customWidth="1"/>
    <col min="5" max="5" width="9.7265625" bestFit="1" customWidth="1"/>
    <col min="7" max="8" width="10.453125" bestFit="1" customWidth="1"/>
    <col min="9" max="9" width="10.453125" customWidth="1"/>
    <col min="12" max="12" width="19.1796875" customWidth="1"/>
    <col min="13" max="13" width="22.81640625" customWidth="1"/>
    <col min="14" max="15" width="23.26953125" bestFit="1" customWidth="1"/>
    <col min="18" max="19" width="19.81640625" bestFit="1" customWidth="1"/>
    <col min="20" max="20" width="15.1796875" bestFit="1" customWidth="1"/>
    <col min="21" max="21" width="16.36328125" bestFit="1" customWidth="1"/>
    <col min="32" max="32" width="15.54296875" customWidth="1"/>
    <col min="33" max="33" width="14.08984375" bestFit="1" customWidth="1"/>
    <col min="35" max="35" width="14.81640625" bestFit="1" customWidth="1"/>
    <col min="36" max="36" width="10.6328125" bestFit="1" customWidth="1"/>
  </cols>
  <sheetData>
    <row r="1" spans="1:36" x14ac:dyDescent="0.35">
      <c r="A1" s="4" t="s">
        <v>0</v>
      </c>
      <c r="B1" t="s">
        <v>34</v>
      </c>
      <c r="C1" s="4" t="s">
        <v>2</v>
      </c>
      <c r="D1" t="s">
        <v>54</v>
      </c>
      <c r="E1" s="4" t="s">
        <v>3</v>
      </c>
      <c r="F1" t="s">
        <v>36</v>
      </c>
      <c r="G1" s="6" t="s">
        <v>5</v>
      </c>
      <c r="H1" t="s">
        <v>5</v>
      </c>
      <c r="I1" s="1" t="s">
        <v>67</v>
      </c>
      <c r="J1" s="6" t="s">
        <v>6</v>
      </c>
      <c r="K1" t="s">
        <v>6</v>
      </c>
      <c r="L1" s="6" t="s">
        <v>38</v>
      </c>
      <c r="M1" t="s">
        <v>7</v>
      </c>
      <c r="N1" s="6" t="s">
        <v>8</v>
      </c>
      <c r="O1" t="s">
        <v>8</v>
      </c>
      <c r="P1" s="6" t="s">
        <v>9</v>
      </c>
      <c r="Q1" t="s">
        <v>9</v>
      </c>
      <c r="R1" s="6" t="s">
        <v>10</v>
      </c>
      <c r="S1" t="s">
        <v>10</v>
      </c>
      <c r="T1" s="6" t="s">
        <v>11</v>
      </c>
      <c r="U1" t="s">
        <v>11</v>
      </c>
      <c r="V1" s="6" t="s">
        <v>12</v>
      </c>
      <c r="W1" t="s">
        <v>12</v>
      </c>
      <c r="X1" s="6" t="s">
        <v>13</v>
      </c>
      <c r="Y1" t="s">
        <v>13</v>
      </c>
      <c r="Z1" s="6" t="s">
        <v>14</v>
      </c>
      <c r="AA1" t="s">
        <v>14</v>
      </c>
      <c r="AB1" s="3" t="s">
        <v>53</v>
      </c>
      <c r="AC1" s="6" t="s">
        <v>15</v>
      </c>
      <c r="AD1" t="s">
        <v>15</v>
      </c>
      <c r="AE1" s="3" t="s">
        <v>53</v>
      </c>
      <c r="AF1" s="6" t="s">
        <v>17</v>
      </c>
      <c r="AG1" t="s">
        <v>52</v>
      </c>
      <c r="AH1" s="3" t="s">
        <v>53</v>
      </c>
      <c r="AI1" s="6" t="s">
        <v>50</v>
      </c>
      <c r="AJ1" t="s">
        <v>51</v>
      </c>
    </row>
    <row r="2" spans="1:36" x14ac:dyDescent="0.35">
      <c r="A2">
        <v>698935</v>
      </c>
      <c r="B2">
        <v>698935</v>
      </c>
      <c r="C2" s="5" t="s">
        <v>28</v>
      </c>
      <c r="D2" s="5" t="s">
        <v>18</v>
      </c>
      <c r="E2" s="5" t="s">
        <v>28</v>
      </c>
      <c r="F2" s="5" t="s">
        <v>37</v>
      </c>
      <c r="G2">
        <v>394592000</v>
      </c>
      <c r="H2">
        <v>394592000</v>
      </c>
      <c r="I2">
        <f>((H2-G2)/G2)*100</f>
        <v>0</v>
      </c>
      <c r="J2" t="s">
        <v>20</v>
      </c>
      <c r="K2" t="s">
        <v>20</v>
      </c>
      <c r="L2" s="7" t="s">
        <v>21</v>
      </c>
      <c r="M2" s="7" t="s">
        <v>39</v>
      </c>
      <c r="N2" t="s">
        <v>57</v>
      </c>
      <c r="O2" t="s">
        <v>57</v>
      </c>
      <c r="P2" t="s">
        <v>23</v>
      </c>
      <c r="Q2" t="s">
        <v>23</v>
      </c>
      <c r="R2" s="7" t="s">
        <v>44</v>
      </c>
      <c r="S2" s="7" t="s">
        <v>44</v>
      </c>
      <c r="T2" s="8">
        <v>46001</v>
      </c>
      <c r="U2" s="9">
        <v>45996</v>
      </c>
      <c r="V2" s="7" t="s">
        <v>30</v>
      </c>
      <c r="W2" s="7" t="s">
        <v>49</v>
      </c>
      <c r="X2" s="7" t="s">
        <v>30</v>
      </c>
      <c r="Y2" s="7" t="s">
        <v>49</v>
      </c>
      <c r="Z2" s="7">
        <v>2441.538</v>
      </c>
      <c r="AA2" s="7">
        <v>2466.1999999999998</v>
      </c>
      <c r="AB2" s="7">
        <f>((AA2-Z2)/Z2)*100</f>
        <v>1.0101010101010022</v>
      </c>
      <c r="AC2">
        <v>-160000</v>
      </c>
      <c r="AD2">
        <v>-160000</v>
      </c>
      <c r="AE2">
        <f t="shared" ref="AE2:AE4" si="0">((AD2-AC2)/AC2)*100</f>
        <v>0</v>
      </c>
      <c r="AF2">
        <v>-390646080</v>
      </c>
      <c r="AG2">
        <f>(AA2+10)*AC2</f>
        <v>-396192000</v>
      </c>
      <c r="AH2" s="7">
        <f t="shared" ref="AH2:AH4" si="1">((AG2-AF2)/AF2)*100</f>
        <v>1.4196789073117029</v>
      </c>
      <c r="AI2" t="s">
        <v>61</v>
      </c>
      <c r="AJ2" t="s">
        <v>61</v>
      </c>
    </row>
    <row r="3" spans="1:36" x14ac:dyDescent="0.35">
      <c r="A3">
        <v>698932</v>
      </c>
      <c r="B3">
        <v>698932</v>
      </c>
      <c r="C3" t="s">
        <v>18</v>
      </c>
      <c r="D3" t="s">
        <v>18</v>
      </c>
      <c r="E3" s="7" t="s">
        <v>18</v>
      </c>
      <c r="F3" s="7" t="s">
        <v>37</v>
      </c>
      <c r="G3">
        <v>305460</v>
      </c>
      <c r="H3">
        <v>305460</v>
      </c>
      <c r="I3">
        <f t="shared" ref="I3:I4" si="2">((H3-G3)/G3)*100</f>
        <v>0</v>
      </c>
      <c r="J3" t="s">
        <v>20</v>
      </c>
      <c r="K3" t="s">
        <v>20</v>
      </c>
      <c r="L3" s="5" t="s">
        <v>55</v>
      </c>
      <c r="M3" s="5" t="s">
        <v>56</v>
      </c>
      <c r="N3" t="s">
        <v>58</v>
      </c>
      <c r="O3" t="s">
        <v>58</v>
      </c>
      <c r="P3" s="5" t="s">
        <v>23</v>
      </c>
      <c r="Q3" s="5" t="s">
        <v>60</v>
      </c>
      <c r="R3" s="7" t="s">
        <v>44</v>
      </c>
      <c r="S3" s="7" t="s">
        <v>44</v>
      </c>
      <c r="T3" s="8">
        <v>45996</v>
      </c>
      <c r="U3" s="9">
        <v>45996</v>
      </c>
      <c r="V3" s="7" t="s">
        <v>30</v>
      </c>
      <c r="W3" s="7" t="s">
        <v>49</v>
      </c>
      <c r="X3" s="7" t="s">
        <v>30</v>
      </c>
      <c r="Y3" s="7" t="s">
        <v>49</v>
      </c>
      <c r="Z3" s="5">
        <v>0.66522399999999993</v>
      </c>
      <c r="AA3" s="5">
        <v>0.87880000000000003</v>
      </c>
      <c r="AB3" s="5">
        <f t="shared" ref="AB3:AB4" si="3">((AA3-Z3)/Z3)*100</f>
        <v>32.105877118083555</v>
      </c>
      <c r="AC3">
        <v>-450000</v>
      </c>
      <c r="AD3">
        <v>-450000</v>
      </c>
      <c r="AE3">
        <f t="shared" si="0"/>
        <v>0</v>
      </c>
      <c r="AF3" s="5">
        <v>-299350.8</v>
      </c>
      <c r="AG3" s="5">
        <f t="shared" ref="AG3:AG4" si="4">AA3*AC3</f>
        <v>-395460</v>
      </c>
      <c r="AH3" s="5">
        <f t="shared" si="1"/>
        <v>32.105877118083534</v>
      </c>
      <c r="AI3" t="s">
        <v>62</v>
      </c>
      <c r="AJ3" t="s">
        <v>62</v>
      </c>
    </row>
    <row r="4" spans="1:36" x14ac:dyDescent="0.35">
      <c r="A4">
        <v>698929</v>
      </c>
      <c r="B4">
        <v>698929</v>
      </c>
      <c r="C4" t="s">
        <v>18</v>
      </c>
      <c r="D4" t="s">
        <v>18</v>
      </c>
      <c r="E4" s="7" t="s">
        <v>18</v>
      </c>
      <c r="F4" s="7" t="s">
        <v>37</v>
      </c>
      <c r="G4">
        <v>-789184000</v>
      </c>
      <c r="H4">
        <v>-789184000</v>
      </c>
      <c r="I4">
        <f t="shared" si="2"/>
        <v>0</v>
      </c>
      <c r="J4" t="s">
        <v>20</v>
      </c>
      <c r="K4" t="s">
        <v>20</v>
      </c>
      <c r="L4" t="s">
        <v>56</v>
      </c>
      <c r="M4" t="s">
        <v>56</v>
      </c>
      <c r="N4" s="5" t="s">
        <v>59</v>
      </c>
      <c r="O4" s="5" t="s">
        <v>58</v>
      </c>
      <c r="P4" t="s">
        <v>23</v>
      </c>
      <c r="Q4" t="s">
        <v>23</v>
      </c>
      <c r="R4" s="7" t="s">
        <v>44</v>
      </c>
      <c r="S4" s="7" t="s">
        <v>44</v>
      </c>
      <c r="T4" s="8">
        <v>45996</v>
      </c>
      <c r="U4" s="9">
        <v>45996</v>
      </c>
      <c r="V4" s="7" t="s">
        <v>30</v>
      </c>
      <c r="W4" s="7" t="s">
        <v>49</v>
      </c>
      <c r="X4" s="7" t="s">
        <v>30</v>
      </c>
      <c r="Y4" s="7" t="s">
        <v>49</v>
      </c>
      <c r="Z4" s="7">
        <v>2392.2139999999999</v>
      </c>
      <c r="AA4" s="7">
        <v>2466.1999999999998</v>
      </c>
      <c r="AB4" s="7">
        <f t="shared" si="3"/>
        <v>3.092783505154634</v>
      </c>
      <c r="AC4">
        <v>320000</v>
      </c>
      <c r="AD4">
        <v>320000</v>
      </c>
      <c r="AE4">
        <f t="shared" si="0"/>
        <v>0</v>
      </c>
      <c r="AF4" s="7">
        <v>765508480</v>
      </c>
      <c r="AG4" s="7">
        <f t="shared" si="4"/>
        <v>789184000</v>
      </c>
      <c r="AH4" s="7">
        <f t="shared" si="1"/>
        <v>3.0927835051546393</v>
      </c>
      <c r="AI4" t="s">
        <v>63</v>
      </c>
      <c r="AJ4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A9FF-11D4-449C-B610-8FD6A5A75681}">
  <dimension ref="A1:R7"/>
  <sheetViews>
    <sheetView workbookViewId="0">
      <selection activeCell="A2" sqref="A2:XFD7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s="2" customFormat="1" x14ac:dyDescent="0.35">
      <c r="A2" s="2">
        <v>698047</v>
      </c>
      <c r="B2" s="2" t="s">
        <v>27</v>
      </c>
      <c r="C2" s="2" t="s">
        <v>28</v>
      </c>
      <c r="D2" s="2" t="s">
        <v>28</v>
      </c>
      <c r="E2" s="2" t="s">
        <v>19</v>
      </c>
      <c r="F2" s="2">
        <v>-7398600000</v>
      </c>
      <c r="G2" s="2" t="s">
        <v>20</v>
      </c>
      <c r="H2" s="2" t="s">
        <v>56</v>
      </c>
      <c r="I2" s="2" t="s">
        <v>68</v>
      </c>
      <c r="J2" s="2" t="s">
        <v>23</v>
      </c>
      <c r="K2" s="2" t="s">
        <v>69</v>
      </c>
      <c r="L2" s="10">
        <v>45994</v>
      </c>
      <c r="M2" s="2" t="s">
        <v>24</v>
      </c>
      <c r="N2" s="2" t="s">
        <v>25</v>
      </c>
      <c r="O2" s="2">
        <v>2293.5659999999998</v>
      </c>
      <c r="P2" s="2">
        <v>3000000</v>
      </c>
      <c r="Q2" s="2">
        <v>67890</v>
      </c>
      <c r="R2" s="2">
        <f t="shared" ref="R2:R7" si="0">O2*P2</f>
        <v>6880697999.999999</v>
      </c>
    </row>
    <row r="3" spans="1:18" s="2" customFormat="1" x14ac:dyDescent="0.35">
      <c r="A3" s="2">
        <v>698046</v>
      </c>
      <c r="B3" s="2" t="s">
        <v>27</v>
      </c>
      <c r="C3" s="2" t="s">
        <v>28</v>
      </c>
      <c r="D3" s="2" t="s">
        <v>28</v>
      </c>
      <c r="E3" s="2" t="s">
        <v>19</v>
      </c>
      <c r="F3" s="2">
        <v>-22195800</v>
      </c>
      <c r="G3" s="2" t="s">
        <v>20</v>
      </c>
      <c r="H3" s="2" t="s">
        <v>56</v>
      </c>
      <c r="I3" s="2" t="s">
        <v>68</v>
      </c>
      <c r="J3" s="2" t="s">
        <v>23</v>
      </c>
      <c r="K3" s="2" t="s">
        <v>70</v>
      </c>
      <c r="L3" s="10">
        <v>45994</v>
      </c>
      <c r="M3" s="2" t="s">
        <v>24</v>
      </c>
      <c r="N3" s="2" t="s">
        <v>25</v>
      </c>
      <c r="O3" s="2">
        <v>2268.904</v>
      </c>
      <c r="P3" s="2">
        <v>9000</v>
      </c>
      <c r="Q3" s="2">
        <v>67890</v>
      </c>
      <c r="R3" s="2">
        <f t="shared" si="0"/>
        <v>20420136</v>
      </c>
    </row>
    <row r="4" spans="1:18" s="2" customFormat="1" x14ac:dyDescent="0.35">
      <c r="A4" s="2">
        <v>698041</v>
      </c>
      <c r="B4" s="2" t="s">
        <v>27</v>
      </c>
      <c r="C4" s="2" t="s">
        <v>28</v>
      </c>
      <c r="D4" s="2" t="s">
        <v>28</v>
      </c>
      <c r="E4" s="2" t="s">
        <v>19</v>
      </c>
      <c r="F4" s="2">
        <v>-3000000</v>
      </c>
      <c r="G4" s="2" t="s">
        <v>20</v>
      </c>
      <c r="H4" s="2" t="s">
        <v>56</v>
      </c>
      <c r="I4" s="2" t="s">
        <v>68</v>
      </c>
      <c r="J4" s="2" t="s">
        <v>23</v>
      </c>
      <c r="K4" s="2" t="s">
        <v>71</v>
      </c>
      <c r="L4" s="10">
        <v>45994</v>
      </c>
      <c r="M4" s="2" t="s">
        <v>24</v>
      </c>
      <c r="N4" s="2" t="s">
        <v>25</v>
      </c>
      <c r="O4" s="2">
        <v>2244.2352750999999</v>
      </c>
      <c r="P4" s="2">
        <v>1216.45</v>
      </c>
      <c r="Q4" s="2">
        <v>67890</v>
      </c>
      <c r="R4" s="2">
        <f t="shared" si="0"/>
        <v>2730000.0003953949</v>
      </c>
    </row>
    <row r="5" spans="1:18" s="2" customFormat="1" x14ac:dyDescent="0.35">
      <c r="A5" s="2">
        <v>698027</v>
      </c>
      <c r="B5" s="2" t="s">
        <v>32</v>
      </c>
      <c r="C5" s="2" t="s">
        <v>18</v>
      </c>
      <c r="D5" s="2" t="s">
        <v>18</v>
      </c>
      <c r="E5" s="2" t="s">
        <v>19</v>
      </c>
      <c r="F5" s="2">
        <v>739860000</v>
      </c>
      <c r="G5" s="2" t="s">
        <v>20</v>
      </c>
      <c r="H5" s="2" t="s">
        <v>56</v>
      </c>
      <c r="I5" s="2" t="s">
        <v>58</v>
      </c>
      <c r="J5" s="2" t="s">
        <v>23</v>
      </c>
      <c r="K5" s="2" t="s">
        <v>64</v>
      </c>
      <c r="L5" s="10">
        <v>45992</v>
      </c>
      <c r="M5" s="2" t="s">
        <v>30</v>
      </c>
      <c r="N5" s="2" t="s">
        <v>30</v>
      </c>
      <c r="O5" s="2">
        <v>2170.2559999999999</v>
      </c>
      <c r="P5" s="2">
        <v>-300000</v>
      </c>
      <c r="Q5" s="2">
        <v>67890</v>
      </c>
      <c r="R5" s="2">
        <f t="shared" si="0"/>
        <v>-651076800</v>
      </c>
    </row>
    <row r="6" spans="1:18" s="2" customFormat="1" x14ac:dyDescent="0.35">
      <c r="A6" s="2">
        <v>698026</v>
      </c>
      <c r="B6" s="2" t="s">
        <v>32</v>
      </c>
      <c r="C6" s="2" t="s">
        <v>18</v>
      </c>
      <c r="D6" s="2" t="s">
        <v>18</v>
      </c>
      <c r="E6" s="2" t="s">
        <v>19</v>
      </c>
      <c r="F6" s="2">
        <v>616550000</v>
      </c>
      <c r="G6" s="2" t="s">
        <v>20</v>
      </c>
      <c r="H6" s="2" t="s">
        <v>56</v>
      </c>
      <c r="I6" s="2" t="s">
        <v>65</v>
      </c>
      <c r="J6" s="2" t="s">
        <v>23</v>
      </c>
      <c r="K6" s="2" t="s">
        <v>64</v>
      </c>
      <c r="L6" s="10">
        <v>45992</v>
      </c>
      <c r="M6" s="2" t="s">
        <v>30</v>
      </c>
      <c r="N6" s="2" t="s">
        <v>30</v>
      </c>
      <c r="O6" s="2">
        <v>2170.2559999999999</v>
      </c>
      <c r="P6" s="2">
        <v>-250000</v>
      </c>
      <c r="Q6" s="2">
        <v>67890</v>
      </c>
      <c r="R6" s="2">
        <f t="shared" si="0"/>
        <v>-542564000</v>
      </c>
    </row>
    <row r="7" spans="1:18" s="2" customFormat="1" x14ac:dyDescent="0.35">
      <c r="A7" s="2">
        <v>698022</v>
      </c>
      <c r="B7" s="2" t="s">
        <v>32</v>
      </c>
      <c r="C7" s="2" t="s">
        <v>18</v>
      </c>
      <c r="D7" s="2" t="s">
        <v>18</v>
      </c>
      <c r="E7" s="2" t="s">
        <v>19</v>
      </c>
      <c r="F7" s="2">
        <v>246620000</v>
      </c>
      <c r="G7" s="2" t="s">
        <v>20</v>
      </c>
      <c r="H7" s="2" t="s">
        <v>56</v>
      </c>
      <c r="I7" s="2" t="s">
        <v>58</v>
      </c>
      <c r="J7" s="2" t="s">
        <v>23</v>
      </c>
      <c r="K7" s="2" t="s">
        <v>64</v>
      </c>
      <c r="L7" s="10">
        <v>45992</v>
      </c>
      <c r="M7" s="2" t="s">
        <v>30</v>
      </c>
      <c r="N7" s="2" t="s">
        <v>30</v>
      </c>
      <c r="O7" s="2">
        <v>2170.2559999999999</v>
      </c>
      <c r="P7" s="2">
        <v>-100000</v>
      </c>
      <c r="Q7" s="2">
        <v>67890</v>
      </c>
      <c r="R7" s="2">
        <f t="shared" si="0"/>
        <v>-217025600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829B-A437-4E27-B340-7C1FAB36FEAF}">
  <dimension ref="A1:R10"/>
  <sheetViews>
    <sheetView workbookViewId="0">
      <selection activeCell="C14" sqref="C14"/>
    </sheetView>
  </sheetViews>
  <sheetFormatPr defaultRowHeight="14.5" x14ac:dyDescent="0.35"/>
  <cols>
    <col min="12" max="12" width="16.36328125" bestFit="1" customWidth="1"/>
  </cols>
  <sheetData>
    <row r="1" spans="1:18" x14ac:dyDescent="0.35">
      <c r="A1" t="s">
        <v>34</v>
      </c>
      <c r="B1" t="s">
        <v>35</v>
      </c>
      <c r="C1" t="s">
        <v>54</v>
      </c>
      <c r="D1" t="s">
        <v>36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51</v>
      </c>
    </row>
    <row r="2" spans="1:18" s="11" customFormat="1" x14ac:dyDescent="0.35">
      <c r="A2" s="11">
        <v>698092</v>
      </c>
      <c r="B2" s="11" t="s">
        <v>32</v>
      </c>
      <c r="C2" s="11" t="s">
        <v>18</v>
      </c>
      <c r="D2" s="11" t="s">
        <v>37</v>
      </c>
      <c r="E2" s="11" t="s">
        <v>19</v>
      </c>
      <c r="F2" s="11">
        <v>-1023473000</v>
      </c>
      <c r="G2" s="11" t="s">
        <v>20</v>
      </c>
      <c r="H2" s="11" t="s">
        <v>39</v>
      </c>
      <c r="I2" s="11" t="s">
        <v>33</v>
      </c>
      <c r="J2" s="11" t="s">
        <v>23</v>
      </c>
      <c r="K2" s="11" t="s">
        <v>72</v>
      </c>
      <c r="L2" s="12">
        <v>45993</v>
      </c>
      <c r="M2" s="11" t="s">
        <v>49</v>
      </c>
      <c r="N2" s="11" t="s">
        <v>49</v>
      </c>
      <c r="O2" s="11">
        <v>2466.1999999999998</v>
      </c>
      <c r="P2" s="11">
        <v>415000</v>
      </c>
      <c r="Q2" s="11">
        <v>67890</v>
      </c>
      <c r="R2" s="11" t="str">
        <f t="shared" ref="R2:R10" si="0">CONCATENATE(A2,"_",G2)</f>
        <v>698092_TZS</v>
      </c>
    </row>
    <row r="3" spans="1:18" s="11" customFormat="1" x14ac:dyDescent="0.35">
      <c r="A3" s="11">
        <v>698087</v>
      </c>
      <c r="B3" s="11" t="s">
        <v>32</v>
      </c>
      <c r="C3" s="11" t="s">
        <v>18</v>
      </c>
      <c r="D3" s="11" t="s">
        <v>37</v>
      </c>
      <c r="E3" s="11" t="s">
        <v>19</v>
      </c>
      <c r="F3" s="11">
        <v>715198000</v>
      </c>
      <c r="G3" s="11" t="s">
        <v>20</v>
      </c>
      <c r="H3" s="11" t="s">
        <v>39</v>
      </c>
      <c r="I3" s="11" t="s">
        <v>57</v>
      </c>
      <c r="J3" s="11" t="s">
        <v>23</v>
      </c>
      <c r="K3" s="11" t="s">
        <v>72</v>
      </c>
      <c r="L3" s="12">
        <v>45993</v>
      </c>
      <c r="M3" s="11" t="s">
        <v>49</v>
      </c>
      <c r="N3" s="11" t="s">
        <v>49</v>
      </c>
      <c r="O3" s="11">
        <v>2466.1999999999998</v>
      </c>
      <c r="P3" s="11">
        <v>-290000</v>
      </c>
      <c r="Q3" s="11">
        <v>67890</v>
      </c>
      <c r="R3" s="11" t="str">
        <f t="shared" si="0"/>
        <v>698087_TZS</v>
      </c>
    </row>
    <row r="4" spans="1:18" s="11" customFormat="1" x14ac:dyDescent="0.35">
      <c r="A4" s="11">
        <v>698083</v>
      </c>
      <c r="B4" s="11" t="s">
        <v>32</v>
      </c>
      <c r="C4" s="11" t="s">
        <v>18</v>
      </c>
      <c r="D4" s="11" t="s">
        <v>37</v>
      </c>
      <c r="E4" s="11" t="s">
        <v>19</v>
      </c>
      <c r="F4" s="11">
        <v>-863170000</v>
      </c>
      <c r="G4" s="11" t="s">
        <v>20</v>
      </c>
      <c r="H4" s="11" t="s">
        <v>56</v>
      </c>
      <c r="I4" s="11" t="s">
        <v>58</v>
      </c>
      <c r="J4" s="11" t="s">
        <v>23</v>
      </c>
      <c r="K4" s="11" t="s">
        <v>72</v>
      </c>
      <c r="L4" s="12">
        <v>45993</v>
      </c>
      <c r="M4" s="11" t="s">
        <v>49</v>
      </c>
      <c r="N4" s="11" t="s">
        <v>49</v>
      </c>
      <c r="O4" s="11">
        <v>2466.1999999999998</v>
      </c>
      <c r="P4" s="11">
        <v>350000</v>
      </c>
      <c r="Q4" s="11">
        <v>67890</v>
      </c>
      <c r="R4" s="11" t="str">
        <f t="shared" si="0"/>
        <v>698083_TZS</v>
      </c>
    </row>
    <row r="5" spans="1:18" s="11" customFormat="1" x14ac:dyDescent="0.35">
      <c r="A5" s="11">
        <v>698080</v>
      </c>
      <c r="B5" s="11" t="s">
        <v>73</v>
      </c>
      <c r="C5" s="11" t="s">
        <v>18</v>
      </c>
      <c r="D5" s="11" t="s">
        <v>37</v>
      </c>
      <c r="E5" s="11" t="s">
        <v>19</v>
      </c>
      <c r="F5" s="11">
        <v>3810280</v>
      </c>
      <c r="G5" s="11" t="s">
        <v>20</v>
      </c>
      <c r="H5" s="11" t="s">
        <v>56</v>
      </c>
      <c r="I5" s="11" t="s">
        <v>65</v>
      </c>
      <c r="J5" s="11" t="s">
        <v>23</v>
      </c>
      <c r="K5" s="11" t="s">
        <v>72</v>
      </c>
      <c r="L5" s="12">
        <v>45993</v>
      </c>
      <c r="M5" s="11" t="s">
        <v>49</v>
      </c>
      <c r="N5" s="11" t="s">
        <v>49</v>
      </c>
      <c r="O5" s="11">
        <v>19.051400000000001</v>
      </c>
      <c r="P5" s="11">
        <v>-200000</v>
      </c>
      <c r="Q5" s="11">
        <v>67890</v>
      </c>
      <c r="R5" s="11" t="str">
        <f t="shared" si="0"/>
        <v>698080_TZS</v>
      </c>
    </row>
    <row r="6" spans="1:18" s="11" customFormat="1" x14ac:dyDescent="0.35">
      <c r="A6" s="11">
        <v>698076</v>
      </c>
      <c r="B6" s="11" t="s">
        <v>32</v>
      </c>
      <c r="C6" s="11" t="s">
        <v>18</v>
      </c>
      <c r="D6" s="11" t="s">
        <v>37</v>
      </c>
      <c r="E6" s="11" t="s">
        <v>19</v>
      </c>
      <c r="F6" s="11">
        <v>295944000</v>
      </c>
      <c r="G6" s="11" t="s">
        <v>20</v>
      </c>
      <c r="H6" s="11" t="s">
        <v>56</v>
      </c>
      <c r="I6" s="11" t="s">
        <v>58</v>
      </c>
      <c r="J6" s="11" t="s">
        <v>23</v>
      </c>
      <c r="K6" s="11" t="s">
        <v>72</v>
      </c>
      <c r="L6" s="12">
        <v>45993</v>
      </c>
      <c r="M6" s="11" t="s">
        <v>49</v>
      </c>
      <c r="N6" s="11" t="s">
        <v>49</v>
      </c>
      <c r="O6" s="11">
        <v>2466.1999999999998</v>
      </c>
      <c r="P6" s="11">
        <v>-120000</v>
      </c>
      <c r="Q6" s="11">
        <v>67890</v>
      </c>
      <c r="R6" s="11" t="str">
        <f t="shared" si="0"/>
        <v>698076_TZS</v>
      </c>
    </row>
    <row r="7" spans="1:18" s="11" customFormat="1" x14ac:dyDescent="0.35">
      <c r="A7" s="11">
        <v>698054</v>
      </c>
      <c r="B7" s="11" t="s">
        <v>27</v>
      </c>
      <c r="C7" s="11" t="s">
        <v>28</v>
      </c>
      <c r="D7" s="11" t="s">
        <v>28</v>
      </c>
      <c r="E7" s="11" t="s">
        <v>19</v>
      </c>
      <c r="F7" s="11">
        <v>-22195800</v>
      </c>
      <c r="G7" s="11" t="s">
        <v>20</v>
      </c>
      <c r="H7" s="11" t="s">
        <v>56</v>
      </c>
      <c r="I7" s="11" t="s">
        <v>68</v>
      </c>
      <c r="J7" s="11" t="s">
        <v>23</v>
      </c>
      <c r="K7" s="11" t="s">
        <v>74</v>
      </c>
      <c r="L7" s="12">
        <v>45994</v>
      </c>
      <c r="M7" s="11" t="s">
        <v>24</v>
      </c>
      <c r="N7" s="11" t="s">
        <v>25</v>
      </c>
      <c r="O7" s="11">
        <v>2466.1999999999998</v>
      </c>
      <c r="P7" s="11">
        <v>9000</v>
      </c>
      <c r="Q7" s="11">
        <v>67890</v>
      </c>
      <c r="R7" s="11" t="str">
        <f t="shared" si="0"/>
        <v>698054_TZS</v>
      </c>
    </row>
    <row r="8" spans="1:18" s="11" customFormat="1" x14ac:dyDescent="0.35">
      <c r="A8" s="11">
        <v>698038</v>
      </c>
      <c r="B8" s="11" t="s">
        <v>32</v>
      </c>
      <c r="C8" s="11" t="s">
        <v>18</v>
      </c>
      <c r="D8" s="11" t="s">
        <v>37</v>
      </c>
      <c r="E8" s="11" t="s">
        <v>19</v>
      </c>
      <c r="F8" s="11">
        <v>-986480000</v>
      </c>
      <c r="G8" s="11" t="s">
        <v>20</v>
      </c>
      <c r="H8" s="11" t="s">
        <v>39</v>
      </c>
      <c r="I8" s="11" t="s">
        <v>33</v>
      </c>
      <c r="J8" s="11" t="s">
        <v>23</v>
      </c>
      <c r="K8" s="11" t="s">
        <v>66</v>
      </c>
      <c r="L8" s="12">
        <v>45992</v>
      </c>
      <c r="M8" s="11" t="s">
        <v>49</v>
      </c>
      <c r="N8" s="11" t="s">
        <v>49</v>
      </c>
      <c r="O8" s="11">
        <v>2466.1999999999998</v>
      </c>
      <c r="P8" s="11">
        <v>400000</v>
      </c>
      <c r="Q8" s="11">
        <v>67890</v>
      </c>
      <c r="R8" s="11" t="str">
        <f t="shared" si="0"/>
        <v>698038_TZS</v>
      </c>
    </row>
    <row r="9" spans="1:18" s="11" customFormat="1" x14ac:dyDescent="0.35">
      <c r="A9" s="11">
        <v>698033</v>
      </c>
      <c r="B9" s="11" t="s">
        <v>32</v>
      </c>
      <c r="C9" s="11" t="s">
        <v>18</v>
      </c>
      <c r="D9" s="11" t="s">
        <v>37</v>
      </c>
      <c r="E9" s="11" t="s">
        <v>19</v>
      </c>
      <c r="F9" s="11">
        <v>-986480000</v>
      </c>
      <c r="G9" s="11" t="s">
        <v>20</v>
      </c>
      <c r="H9" s="11" t="s">
        <v>56</v>
      </c>
      <c r="I9" s="11" t="s">
        <v>33</v>
      </c>
      <c r="J9" s="11" t="s">
        <v>60</v>
      </c>
      <c r="K9" s="11" t="s">
        <v>64</v>
      </c>
      <c r="L9" s="12">
        <v>45992</v>
      </c>
      <c r="M9" s="11" t="s">
        <v>49</v>
      </c>
      <c r="N9" s="11" t="s">
        <v>49</v>
      </c>
      <c r="O9" s="11">
        <v>2466.1999999999998</v>
      </c>
      <c r="P9" s="11">
        <v>400000</v>
      </c>
      <c r="Q9" s="11">
        <v>67890</v>
      </c>
      <c r="R9" s="11" t="str">
        <f t="shared" si="0"/>
        <v>698033_TZS</v>
      </c>
    </row>
    <row r="10" spans="1:18" s="11" customFormat="1" x14ac:dyDescent="0.35">
      <c r="A10" s="11">
        <v>698028</v>
      </c>
      <c r="B10" s="11" t="s">
        <v>32</v>
      </c>
      <c r="C10" s="11" t="s">
        <v>18</v>
      </c>
      <c r="D10" s="11" t="s">
        <v>37</v>
      </c>
      <c r="E10" s="11" t="s">
        <v>19</v>
      </c>
      <c r="F10" s="11">
        <v>690536000</v>
      </c>
      <c r="G10" s="11" t="s">
        <v>20</v>
      </c>
      <c r="H10" s="11" t="s">
        <v>39</v>
      </c>
      <c r="I10" s="11" t="s">
        <v>57</v>
      </c>
      <c r="J10" s="11" t="s">
        <v>23</v>
      </c>
      <c r="K10" s="11" t="s">
        <v>64</v>
      </c>
      <c r="L10" s="12">
        <v>45992</v>
      </c>
      <c r="M10" s="11" t="s">
        <v>49</v>
      </c>
      <c r="N10" s="11" t="s">
        <v>49</v>
      </c>
      <c r="O10" s="11">
        <v>2466.1999999999998</v>
      </c>
      <c r="P10" s="11">
        <v>-280000</v>
      </c>
      <c r="Q10" s="11">
        <v>67890</v>
      </c>
      <c r="R10" s="11" t="str">
        <f t="shared" si="0"/>
        <v>698028_TZS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RowData</vt:lpstr>
      <vt:lpstr>Mapping</vt:lpstr>
      <vt:lpstr>Matched</vt:lpstr>
      <vt:lpstr>UnMatched</vt:lpstr>
      <vt:lpstr>OnlyinSystem1</vt:lpstr>
      <vt:lpstr>OnlyinSystem2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Srivastava</dc:creator>
  <cp:lastModifiedBy>Ruhi  Khanna</cp:lastModifiedBy>
  <dcterms:created xsi:type="dcterms:W3CDTF">2026-03-23T08:35:43Z</dcterms:created>
  <dcterms:modified xsi:type="dcterms:W3CDTF">2026-03-24T18:25:08Z</dcterms:modified>
</cp:coreProperties>
</file>